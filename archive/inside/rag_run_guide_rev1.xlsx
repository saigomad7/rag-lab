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사외연습_체크리스트" sheetId="2" state="visible" r:id="rId2"/>
    <sheet xmlns:r="http://schemas.openxmlformats.org/officeDocument/2006/relationships" name="1b_노트북_연습순서" sheetId="3" state="visible" r:id="rId3"/>
    <sheet xmlns:r="http://schemas.openxmlformats.org/officeDocument/2006/relationships" name="2_사내_실행순서" sheetId="4" state="visible" r:id="rId4"/>
    <sheet xmlns:r="http://schemas.openxmlformats.org/officeDocument/2006/relationships" name="3_노트북_상세" sheetId="5" state="visible" r:id="rId5"/>
    <sheet xmlns:r="http://schemas.openxmlformats.org/officeDocument/2006/relationships" name="4_설정_기입" sheetId="6" state="visible" r:id="rId6"/>
    <sheet xmlns:r="http://schemas.openxmlformats.org/officeDocument/2006/relationships" name="5_안돌리는_파일" sheetId="7" state="visible" r:id="rId7"/>
    <sheet xmlns:r="http://schemas.openxmlformats.org/officeDocument/2006/relationships" name="6_소스카테고리_수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b val="1"/>
      <color rgb="00185463"/>
      <sz val="10"/>
    </font>
    <font>
      <name val="맑은 고딕"/>
      <b val="1"/>
      <color rgb="005C440C"/>
      <sz val="10"/>
    </font>
    <font>
      <name val="맑은 고딕"/>
      <color rgb="005C440C"/>
      <sz val="10"/>
    </font>
  </fonts>
  <fills count="9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EEF4F5"/>
        <bgColor rgb="00EEF4F5"/>
      </patternFill>
    </fill>
    <fill>
      <patternFill patternType="solid">
        <fgColor rgb="00DAEAED"/>
        <bgColor rgb="00DAEAED"/>
      </patternFill>
    </fill>
    <fill>
      <patternFill patternType="solid">
        <fgColor rgb="00E2F0D9"/>
        <bgColor rgb="00E2F0D9"/>
      </patternFill>
    </fill>
    <fill>
      <patternFill patternType="solid">
        <fgColor rgb="00F5F5F5"/>
        <bgColor rgb="00F5F5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/>
      <top style="thin">
        <color rgb="00BFCACB"/>
      </top>
      <bottom style="thin">
        <color rgb="00BFCACB"/>
      </bottom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4" borderId="1" pivotButton="0" quotePrefix="0" xfId="0"/>
    <xf numFmtId="9" fontId="4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5EAD0"/>
          <bgColor rgb="00F5EAD0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5F5F5"/>
          <b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실행 가이드 rev.1 — 무엇을 어떤 순서로 돌리는가</t>
        </is>
      </c>
    </row>
    <row r="2">
      <c r="A2" s="2" t="inlineStr">
        <is>
          <t>2026-09-25 · 밖(사외) 6개 → 사내 전체 · 연노랑 = 기입 · 밖에서는 설정·키 불필요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왜 14개인가</t>
        </is>
      </c>
      <c r="B5" s="5" t="inlineStr">
        <is>
          <t>한 노트북 = 한 가지 질문. 섞어 놓으면 어느 단계가 문제인지 구분되지 않아 나눠 둠. 전부 돌릴 필요는 없음</t>
        </is>
      </c>
    </row>
    <row r="6">
      <c r="A6" s="4" t="inlineStr">
        <is>
          <t>밖에서 6개</t>
        </is>
      </c>
      <c r="B6" s="5" t="inlineStr">
        <is>
          <t>nb01 · nb02 · nb00 · nb03 · nb06(검색 지표) · nb10(답변 지표) — LLM 없이 전부 동작</t>
        </is>
      </c>
    </row>
    <row r="7">
      <c r="A7" s="4" t="inlineStr">
        <is>
          <t>LLM 필요 2개</t>
        </is>
      </c>
      <c r="B7" s="5" t="inlineStr">
        <is>
          <t>nb12 골든셋 생성 · nb13 프리셋 비교 — 사내에서</t>
        </is>
      </c>
    </row>
    <row r="8">
      <c r="A8" s="4" t="inlineStr">
        <is>
          <t>나머지 6개</t>
        </is>
      </c>
      <c r="B8" s="5" t="inlineStr">
        <is>
          <t>nb04 Milvus · nb05 스모크 · nb07 정형연계 · nb08 자동평가 · nb09 · nb11 — 필요할 때</t>
        </is>
      </c>
    </row>
    <row r="9">
      <c r="A9" s="4" t="inlineStr">
        <is>
          <t>밖에서 준비</t>
        </is>
      </c>
      <c r="B9" s="5" t="inlineStr">
        <is>
          <t>설정 없음. 압축 풀고 pandas · numpy · openpyxl 만 설치하면 문서 100건 · 정답지 30문항으로 바로 실행</t>
        </is>
      </c>
    </row>
    <row r="10">
      <c r="A10" s="4" t="inlineStr">
        <is>
          <t>실행 방법</t>
        </is>
      </c>
      <c r="B10" s="5" t="inlineStr">
        <is>
          <t>Spyder 에서 파일 열고 Ctrl+Enter 로 셀 하나씩. 반드시 [0] 준비 셀부터</t>
        </is>
      </c>
    </row>
    <row r="11">
      <c r="A11" s="4" t="inlineStr">
        <is>
          <t>결과 확인</t>
        </is>
      </c>
      <c r="B11" s="5" t="inlineStr">
        <is>
          <t>콘솔 출력 + Variable Explorer 의 DataFrame. 저장물은 out/ 폴더</t>
        </is>
      </c>
    </row>
    <row r="12">
      <c r="A12" s="4" t="inlineStr">
        <is>
          <t>기록</t>
        </is>
      </c>
      <c r="B12" s="5" t="inlineStr">
        <is>
          <t>out/ 결과를 이력대장 · 평가팩 엑셀에 붙여넣기. 어느 시트인지는 각 시트의 "기록 위치" 열 참조</t>
        </is>
      </c>
    </row>
    <row r="13">
      <c r="A13" s="4" t="inlineStr">
        <is>
          <t>순서 원칙</t>
        </is>
      </c>
      <c r="B13" s="5" t="inlineStr">
        <is>
          <t>앞 단계 미달 상태에서 뒤 단계를 재면 원인을 특정할 수 없음. 1번부터 차례로</t>
        </is>
      </c>
    </row>
    <row r="15">
      <c r="A15" s="6" t="inlineStr">
        <is>
          <t>시트 안내</t>
        </is>
      </c>
    </row>
    <row r="16">
      <c r="A16" s="7" t="inlineStr">
        <is>
          <t>1_사외연습_체크리스트</t>
        </is>
      </c>
      <c r="B16" s="5" t="inlineStr">
        <is>
          <t>★ 밖에서 하나씩 돌리며 확인 체크 — 무엇을 보고 무엇을 확인했는지</t>
        </is>
      </c>
    </row>
    <row r="17">
      <c r="A17" s="7" t="inlineStr">
        <is>
          <t>1b_노트북_연습순서</t>
        </is>
      </c>
      <c r="B17" s="5" t="inlineStr">
        <is>
          <t>연습 순서 요약 (소요 시간 · LLM 필요 여부)</t>
        </is>
      </c>
    </row>
    <row r="18">
      <c r="A18" s="7" t="inlineStr">
        <is>
          <t>2_사내_실행순서</t>
        </is>
      </c>
      <c r="B18" s="5" t="inlineStr">
        <is>
          <t>사내에서 실제로 도는 순서 · 통과 기준 · 기록 위치</t>
        </is>
      </c>
    </row>
    <row r="19">
      <c r="A19" s="7" t="inlineStr">
        <is>
          <t>3_노트북_상세</t>
        </is>
      </c>
      <c r="B19" s="5" t="inlineStr">
        <is>
          <t>14개 각각 무엇을 하는지 · 셀 수 · 입력 · 출력 · 필수 여부</t>
        </is>
      </c>
    </row>
    <row r="20">
      <c r="A20" s="7" t="inlineStr">
        <is>
          <t>4_설정_기입</t>
        </is>
      </c>
      <c r="B20" s="5" t="inlineStr">
        <is>
          <t>.env 와 lab_config 에서 채울 항목 (여기 적고 옮겨 넣기)</t>
        </is>
      </c>
    </row>
    <row r="21">
      <c r="A21" s="7" t="inlineStr">
        <is>
          <t>5_안돌리는_파일</t>
        </is>
      </c>
      <c r="B21" s="5" t="inlineStr">
        <is>
          <t>라이브러리 14개 역할 — 직접 실행하지 않음</t>
        </is>
      </c>
    </row>
    <row r="22">
      <c r="A22" s="7" t="inlineStr">
        <is>
          <t>6_소스카테고리_수정</t>
        </is>
      </c>
      <c r="B22" s="5" t="inlineStr">
        <is>
          <t>★ 카테고리 추가 · 제거 · 이름 변경 · 사내 코드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8" customWidth="1" min="3" max="3"/>
    <col width="22" customWidth="1" min="4" max="4"/>
    <col width="8" customWidth="1" min="5" max="5"/>
    <col width="26" customWidth="1" min="6" max="6"/>
  </cols>
  <sheetData>
    <row r="1">
      <c r="A1" s="8" t="inlineStr">
        <is>
          <t>1. 사외 연습 체크리스트</t>
        </is>
      </c>
    </row>
    <row r="2">
      <c r="A2" s="2" t="inlineStr">
        <is>
          <t>밖에서 LLM 없이 하나씩 돌리며 확인 · E · F 열 기입 · 설정 · 키 불필요</t>
        </is>
      </c>
    </row>
    <row r="4">
      <c r="A4" s="3" t="inlineStr">
        <is>
          <t>단계</t>
        </is>
      </c>
      <c r="B4" s="3" t="inlineStr">
        <is>
          <t>무엇을 한다</t>
        </is>
      </c>
      <c r="C4" s="3" t="inlineStr">
        <is>
          <t>확인할 것 (이게 보이면 정상)</t>
        </is>
      </c>
      <c r="D4" s="3" t="inlineStr">
        <is>
          <t>어디서</t>
        </is>
      </c>
      <c r="E4" s="3" t="inlineStr">
        <is>
          <t>확인</t>
        </is>
      </c>
      <c r="F4" s="3" t="inlineStr">
        <is>
          <t>메모</t>
        </is>
      </c>
    </row>
    <row r="5">
      <c r="A5" s="4" t="inlineStr">
        <is>
          <t>준비</t>
        </is>
      </c>
      <c r="B5" s="5" t="inlineStr">
        <is>
          <t>압축 풀고 pandas · numpy · openpyxl 설치</t>
        </is>
      </c>
      <c r="C5" s="5" t="inlineStr">
        <is>
          <t>[0] 준비 셀에 LAB_MODE=sample · SAMPLE_SET=100 이 찍힘</t>
        </is>
      </c>
      <c r="D5" s="5" t="inlineStr">
        <is>
          <t>아무 노트북</t>
        </is>
      </c>
      <c r="E5" s="9" t="inlineStr"/>
      <c r="F5" s="10" t="inlineStr"/>
    </row>
    <row r="6">
      <c r="A6" s="4" t="inlineStr">
        <is>
          <t>준비</t>
        </is>
      </c>
      <c r="B6" s="5" t="inlineStr">
        <is>
          <t>안내서 읽기</t>
        </is>
      </c>
      <c r="C6" s="5" t="inlineStr">
        <is>
          <t>돌릴 노트북 6개와 순서를 안다</t>
        </is>
      </c>
      <c r="D6" s="5" t="inlineStr">
        <is>
          <t>docs/practice_guide.html</t>
        </is>
      </c>
      <c r="E6" s="9" t="inlineStr"/>
      <c r="F6" s="10" t="inlineStr"/>
    </row>
    <row r="7">
      <c r="A7" s="4" t="inlineStr">
        <is>
          <t>1 · 데이터</t>
        </is>
      </c>
      <c r="B7" s="5" t="inlineStr">
        <is>
          <t>nb01 실행 — 소스별 분포</t>
        </is>
      </c>
      <c r="C7" s="5" t="inlineStr">
        <is>
          <t>문서 100건 · 뉴스 32 · 증권사 18 … 로 나옴</t>
        </is>
      </c>
      <c r="D7" s="5" t="inlineStr">
        <is>
          <t>nb01 [2] 셀</t>
        </is>
      </c>
      <c r="E7" s="9" t="inlineStr"/>
      <c r="F7" s="10" t="inlineStr"/>
    </row>
    <row r="8">
      <c r="A8" s="4" t="inlineStr">
        <is>
          <t>1 · 데이터</t>
        </is>
      </c>
      <c r="B8" s="5" t="inlineStr">
        <is>
          <t>본문 길이 · 기간 확인</t>
        </is>
      </c>
      <c r="C8" s="5" t="inlineStr">
        <is>
          <t>2026-04 ~ 09 · 본문 중앙값 400자 내외</t>
        </is>
      </c>
      <c r="D8" s="5" t="inlineStr">
        <is>
          <t>nb01 [3] 셀</t>
        </is>
      </c>
      <c r="E8" s="9" t="inlineStr"/>
      <c r="F8" s="10" t="inlineStr"/>
    </row>
    <row r="9">
      <c r="A9" s="4" t="inlineStr">
        <is>
          <t>2 · 청킹</t>
        </is>
      </c>
      <c r="B9" s="5" t="inlineStr">
        <is>
          <t>nb02 실행 — 정제 전후 비교</t>
        </is>
      </c>
      <c r="C9" s="5" t="inlineStr">
        <is>
          <t>메일 서명 · 기사 말머리가 제거되는 것을 눈으로 확인</t>
        </is>
      </c>
      <c r="D9" s="5" t="inlineStr">
        <is>
          <t>nb02 [5] 셀</t>
        </is>
      </c>
      <c r="E9" s="9" t="inlineStr"/>
      <c r="F9" s="10" t="inlineStr"/>
    </row>
    <row r="10">
      <c r="A10" s="4" t="inlineStr">
        <is>
          <t>2 · 청킹</t>
        </is>
      </c>
      <c r="B10" s="5" t="inlineStr">
        <is>
          <t>청크 길이 분포</t>
        </is>
      </c>
      <c r="C10" s="5" t="inlineStr">
        <is>
          <t>청크 182개 · 중앙 270자 내외 · 토큰 초과율 0</t>
        </is>
      </c>
      <c r="D10" s="5" t="inlineStr">
        <is>
          <t>nb02 [3] 셀</t>
        </is>
      </c>
      <c r="E10" s="9" t="inlineStr"/>
      <c r="F10" s="10" t="inlineStr"/>
    </row>
    <row r="11">
      <c r="A11" s="4" t="inlineStr">
        <is>
          <t>2 · 청킹</t>
        </is>
      </c>
      <c r="B11" s="5" t="inlineStr">
        <is>
          <t>기준 대비 재청킹 비교</t>
        </is>
      </c>
      <c r="C11" s="5" t="inlineStr">
        <is>
          <t>lab_sources 의 chunk 값을 바꾸면 청크 수가 달라짐</t>
        </is>
      </c>
      <c r="D11" s="5" t="inlineStr">
        <is>
          <t>nb02 [+] 셀</t>
        </is>
      </c>
      <c r="E11" s="9" t="inlineStr"/>
      <c r="F11" s="10" t="inlineStr"/>
    </row>
    <row r="12">
      <c r="A12" s="4" t="inlineStr">
        <is>
          <t>3 · 적재점검</t>
        </is>
      </c>
      <c r="B12" s="5" t="inlineStr">
        <is>
          <t>nb00 실행 — 무결성 점검</t>
        </is>
      </c>
      <c r="C12" s="5" t="inlineStr">
        <is>
          <t>미달 3건(청킹 누락 · 고아 청크 · 초단문)이 검출됨</t>
        </is>
      </c>
      <c r="D12" s="5" t="inlineStr">
        <is>
          <t>nb00 [8] 셀</t>
        </is>
      </c>
      <c r="E12" s="9" t="inlineStr"/>
      <c r="F12" s="10" t="inlineStr"/>
    </row>
    <row r="13">
      <c r="A13" s="4" t="inlineStr">
        <is>
          <t>3 · 적재점검</t>
        </is>
      </c>
      <c r="B13" s="5" t="inlineStr">
        <is>
          <t>소스 유형 매핑 확인</t>
        </is>
      </c>
      <c r="C13" s="5" t="inlineStr">
        <is>
          <t>데이터의 모든 코드가 정의돼 있음 메시지</t>
        </is>
      </c>
      <c r="D13" s="5" t="inlineStr">
        <is>
          <t>nb00 [1b] 셀</t>
        </is>
      </c>
      <c r="E13" s="9" t="inlineStr"/>
      <c r="F13" s="10" t="inlineStr"/>
    </row>
    <row r="14">
      <c r="A14" s="4" t="inlineStr">
        <is>
          <t>4 · 토크나이저</t>
        </is>
      </c>
      <c r="B14" s="5" t="inlineStr">
        <is>
          <t>nb03 실행 — 3종 비교</t>
        </is>
      </c>
      <c r="C14" s="5" t="inlineStr">
        <is>
          <t>space 보다 josa 가 hit@1 이 높게 나옴</t>
        </is>
      </c>
      <c r="D14" s="5" t="inlineStr">
        <is>
          <t>nb03 [3] 셀</t>
        </is>
      </c>
      <c r="E14" s="9" t="inlineStr"/>
      <c r="F14" s="10" t="inlineStr"/>
    </row>
    <row r="15">
      <c r="A15" s="4" t="inlineStr">
        <is>
          <t>4 · 토크나이저</t>
        </is>
      </c>
      <c r="B15" s="5" t="inlineStr">
        <is>
          <t>토큰 분해 눈으로 보기</t>
        </is>
      </c>
      <c r="C15" s="5" t="inlineStr">
        <is>
          <t>"하이닉스의" 가 space 에서만 다른 토큰</t>
        </is>
      </c>
      <c r="D15" s="5" t="inlineStr">
        <is>
          <t>nb03 [1] 셀</t>
        </is>
      </c>
      <c r="E15" s="9" t="inlineStr"/>
      <c r="F15" s="10" t="inlineStr"/>
    </row>
    <row r="16">
      <c r="A16" s="4" t="inlineStr">
        <is>
          <t>5 · 검색지표</t>
        </is>
      </c>
      <c r="B16" s="5" t="inlineStr">
        <is>
          <t>nb06 실행 — 방식 6종 비교</t>
        </is>
      </c>
      <c r="C16" s="5" t="inlineStr">
        <is>
          <t>bm25 R@5 0.889 · dense 0.704 처럼 값이 갈림</t>
        </is>
      </c>
      <c r="D16" s="5" t="inlineStr">
        <is>
          <t>nb06 [3] 셀</t>
        </is>
      </c>
      <c r="E16" s="9" t="inlineStr"/>
      <c r="F16" s="10" t="inlineStr"/>
    </row>
    <row r="17">
      <c r="A17" s="4" t="inlineStr">
        <is>
          <t>5 · 검색지표</t>
        </is>
      </c>
      <c r="B17" s="5" t="inlineStr">
        <is>
          <t>유형별 · 소스별 약점 보기</t>
        </is>
      </c>
      <c r="C17" s="5" t="inlineStr">
        <is>
          <t>비교형 질문이 낮게 나오는 것 확인</t>
        </is>
      </c>
      <c r="D17" s="5" t="inlineStr">
        <is>
          <t>nb06 [4] 셀</t>
        </is>
      </c>
      <c r="E17" s="9" t="inlineStr"/>
      <c r="F17" s="10" t="inlineStr"/>
    </row>
    <row r="18">
      <c r="A18" s="4" t="inlineStr">
        <is>
          <t>5 · 검색지표</t>
        </is>
      </c>
      <c r="B18" s="5" t="inlineStr">
        <is>
          <t>틀린 문항 직접 보기</t>
        </is>
      </c>
      <c r="C18" s="5" t="inlineStr">
        <is>
          <t>어떤 청크가 잘못 올라왔는지 원문 확인</t>
        </is>
      </c>
      <c r="D18" s="5" t="inlineStr">
        <is>
          <t>nb06 [6] · [7] 셀</t>
        </is>
      </c>
      <c r="E18" s="9" t="inlineStr"/>
      <c r="F18" s="10" t="inlineStr"/>
    </row>
    <row r="19">
      <c r="A19" s="4" t="inlineStr">
        <is>
          <t>6 · 답변지표</t>
        </is>
      </c>
      <c r="B19" s="5" t="inlineStr">
        <is>
          <t>nb10 실행 — 방식 2종 비교</t>
        </is>
      </c>
      <c r="C19" s="5" t="inlineStr">
        <is>
          <t>모범답변(상한) vs 추출식 표가 나옴</t>
        </is>
      </c>
      <c r="D19" s="5" t="inlineStr">
        <is>
          <t>nb10 [4] 셀</t>
        </is>
      </c>
      <c r="E19" s="9" t="inlineStr"/>
      <c r="F19" s="10" t="inlineStr"/>
    </row>
    <row r="20">
      <c r="A20" s="4" t="inlineStr">
        <is>
          <t>6 · 답변지표</t>
        </is>
      </c>
      <c r="B20" s="5" t="inlineStr">
        <is>
          <t>합격 판정 읽기</t>
        </is>
      </c>
      <c r="C20" s="5" t="inlineStr">
        <is>
          <t>충실도 · 인용은 충족 / 정확도는 미달로 나옴</t>
        </is>
      </c>
      <c r="D20" s="5" t="inlineStr">
        <is>
          <t>nb10 [5] 셀</t>
        </is>
      </c>
      <c r="E20" s="9" t="inlineStr"/>
      <c r="F20" s="10" t="inlineStr"/>
    </row>
    <row r="21">
      <c r="A21" s="4" t="inlineStr">
        <is>
          <t>6 · 답변지표</t>
        </is>
      </c>
      <c r="B21" s="5" t="inlineStr">
        <is>
          <t>약한 문항 확인</t>
        </is>
      </c>
      <c r="C21" s="5" t="inlineStr">
        <is>
          <t>정확도 낮은 5문항의 답변을 직접 읽어봄</t>
        </is>
      </c>
      <c r="D21" s="5" t="inlineStr">
        <is>
          <t>nb10 [6] 셀</t>
        </is>
      </c>
      <c r="E21" s="9" t="inlineStr"/>
      <c r="F21" s="10" t="inlineStr"/>
    </row>
    <row r="22">
      <c r="A22" s="4" t="inlineStr">
        <is>
          <t>실험 1</t>
        </is>
      </c>
      <c r="B22" s="5" t="inlineStr">
        <is>
          <t>토크나이저 바꾸기</t>
        </is>
      </c>
      <c r="C22" s="5" t="inlineStr">
        <is>
          <t>BM25_TOK 를 'space' → 'josa' 로 바꾸면 점수 상승</t>
        </is>
      </c>
      <c r="D22" s="5" t="inlineStr">
        <is>
          <t>nb06 [2] 셀</t>
        </is>
      </c>
      <c r="E22" s="9" t="inlineStr"/>
      <c r="F22" s="10" t="inlineStr"/>
    </row>
    <row r="23">
      <c r="A23" s="4" t="inlineStr">
        <is>
          <t>실험 2</t>
        </is>
      </c>
      <c r="B23" s="5" t="inlineStr">
        <is>
          <t>검색 조합 바꾸기</t>
        </is>
      </c>
      <c r="C23" s="5" t="inlineStr">
        <is>
          <t>MODES 에서 모드를 빼고 더해 차이 확인</t>
        </is>
      </c>
      <c r="D23" s="5" t="inlineStr">
        <is>
          <t>nb06 [3] 셀</t>
        </is>
      </c>
      <c r="E23" s="9" t="inlineStr"/>
      <c r="F23" s="10" t="inlineStr"/>
    </row>
    <row r="24">
      <c r="A24" s="4" t="inlineStr">
        <is>
          <t>실험 3</t>
        </is>
      </c>
      <c r="B24" s="5" t="inlineStr">
        <is>
          <t>청크 크기 바꾸기</t>
        </is>
      </c>
      <c r="C24" s="5" t="inlineStr">
        <is>
          <t>lab_sources 의 chunk=500 → 300 후 nb06 재실행</t>
        </is>
      </c>
      <c r="D24" s="5" t="inlineStr">
        <is>
          <t>lab_sources.py</t>
        </is>
      </c>
      <c r="E24" s="9" t="inlineStr"/>
      <c r="F24" s="10" t="inlineStr"/>
    </row>
    <row r="25">
      <c r="A25" s="4" t="inlineStr">
        <is>
          <t>실험 4</t>
        </is>
      </c>
      <c r="B25" s="5" t="inlineStr">
        <is>
          <t>RRF k · MMR λ 스윕</t>
        </is>
      </c>
      <c r="C25" s="5" t="inlineStr">
        <is>
          <t>결합 · 다양성 파라미터가 점수에 주는 영향</t>
        </is>
      </c>
      <c r="D25" s="5" t="inlineStr">
        <is>
          <t>nb06 [5] 셀</t>
        </is>
      </c>
      <c r="E25" s="9" t="inlineStr"/>
      <c r="F25" s="10" t="inlineStr"/>
    </row>
    <row r="26">
      <c r="A26" s="4" t="inlineStr">
        <is>
          <t>실험 5</t>
        </is>
      </c>
      <c r="B26" s="5" t="inlineStr">
        <is>
          <t>정답지 직접 수정</t>
        </is>
      </c>
      <c r="C26" s="5" t="inlineStr">
        <is>
          <t>질문을 바꿔 넣고 재실행 → 약한 질문 유형 파악</t>
        </is>
      </c>
      <c r="D26" s="5" t="inlineStr">
        <is>
          <t>golden/golden_sample100.csv</t>
        </is>
      </c>
      <c r="E26" s="9" t="inlineStr"/>
      <c r="F26" s="10" t="inlineStr"/>
    </row>
    <row r="27">
      <c r="A27" s="4" t="inlineStr">
        <is>
          <t>정리</t>
        </is>
      </c>
      <c r="B27" s="5" t="inlineStr">
        <is>
          <t>사내에서 고칠 3군데 파악</t>
        </is>
      </c>
      <c r="C27" s="5" t="inlineStr">
        <is>
          <t>.env · lab_config(RAW·CHUNK·MV) · lab_sources(SOURCES)</t>
        </is>
      </c>
      <c r="D27" s="5" t="inlineStr">
        <is>
          <t>practice_guide 6장</t>
        </is>
      </c>
      <c r="E27" s="9" t="inlineStr"/>
      <c r="F27" s="10" t="inlineStr"/>
    </row>
    <row r="29">
      <c r="A29" s="11" t="inlineStr">
        <is>
          <t>집계</t>
        </is>
      </c>
    </row>
    <row r="30">
      <c r="A30" s="7" t="inlineStr">
        <is>
          <t>전체</t>
        </is>
      </c>
      <c r="B30" s="12">
        <f>COUNTIF(B5:B27,"&lt;&gt;")</f>
        <v>23</v>
      </c>
    </row>
    <row r="31">
      <c r="A31" s="7" t="inlineStr">
        <is>
          <t>확인 완료</t>
        </is>
      </c>
      <c r="B31" s="12">
        <f>COUNTIF(E5:E27,"확인")</f>
        <v>0</v>
      </c>
    </row>
    <row r="32">
      <c r="A32" s="7" t="inlineStr">
        <is>
          <t>질문 있음</t>
        </is>
      </c>
      <c r="B32" s="12">
        <f>COUNTIF(E5:E27,"질문 있음")</f>
        <v>0</v>
      </c>
    </row>
    <row r="33">
      <c r="A33" s="7" t="inlineStr">
        <is>
          <t>진행률</t>
        </is>
      </c>
      <c r="B33" s="13">
        <f>IFERROR(COUNTIF(E5:E27,"확인")/COUNTIF(B5:B27,"&lt;&gt;"),"")</f>
        <v>0.0</v>
      </c>
    </row>
  </sheetData>
  <mergeCells count="2">
    <mergeCell ref="A2:F2"/>
    <mergeCell ref="A1:F1"/>
  </mergeCells>
  <conditionalFormatting sqref="E5:E27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E5:E27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8" customWidth="1" min="3" max="3"/>
    <col width="9" customWidth="1" min="4" max="4"/>
    <col width="9" customWidth="1" min="5" max="5"/>
    <col width="8" customWidth="1" min="6" max="6"/>
    <col width="26" customWidth="1" min="7" max="7"/>
  </cols>
  <sheetData>
    <row r="1">
      <c r="A1" s="8" t="inlineStr">
        <is>
          <t>1b. 연습 순서 요약</t>
        </is>
      </c>
    </row>
    <row r="2">
      <c r="A2" s="2" t="inlineStr">
        <is>
          <t>밖에서 돌리는 6개 · LLM 불필요 · 나머지 8개는 사내에서</t>
        </is>
      </c>
    </row>
    <row r="4">
      <c r="A4" s="3" t="inlineStr">
        <is>
          <t>순서</t>
        </is>
      </c>
      <c r="B4" s="3" t="inlineStr">
        <is>
          <t>실행 파일</t>
        </is>
      </c>
      <c r="C4" s="3" t="inlineStr">
        <is>
          <t>무엇을 보는가</t>
        </is>
      </c>
      <c r="D4" s="3" t="inlineStr">
        <is>
          <t>LLM</t>
        </is>
      </c>
      <c r="E4" s="3" t="inlineStr">
        <is>
          <t>소요</t>
        </is>
      </c>
      <c r="F4" s="3" t="inlineStr">
        <is>
          <t>완료</t>
        </is>
      </c>
      <c r="G4" s="3" t="inlineStr">
        <is>
          <t>메모</t>
        </is>
      </c>
    </row>
    <row r="5">
      <c r="A5" s="14" t="n">
        <v>1</v>
      </c>
      <c r="B5" s="4" t="inlineStr">
        <is>
          <t>nb01_inventory</t>
        </is>
      </c>
      <c r="C5" s="5" t="inlineStr">
        <is>
          <t>데이터가 어떻게 생겼나 — 소스별 분포 · 기간 · 길이</t>
        </is>
      </c>
      <c r="D5" s="14" t="inlineStr">
        <is>
          <t>불필요</t>
        </is>
      </c>
      <c r="E5" s="14" t="inlineStr">
        <is>
          <t>20분</t>
        </is>
      </c>
      <c r="F5" s="9" t="inlineStr"/>
      <c r="G5" s="10" t="inlineStr"/>
    </row>
    <row r="6">
      <c r="A6" s="14" t="n">
        <v>2</v>
      </c>
      <c r="B6" s="4" t="inlineStr">
        <is>
          <t>nb02_parse_chunk</t>
        </is>
      </c>
      <c r="C6" s="5" t="inlineStr">
        <is>
          <t>청크로 어떻게 쪼개지나 · 정제 전후</t>
        </is>
      </c>
      <c r="D6" s="14" t="inlineStr">
        <is>
          <t>불필요</t>
        </is>
      </c>
      <c r="E6" s="14" t="inlineStr">
        <is>
          <t>30분</t>
        </is>
      </c>
      <c r="F6" s="9" t="inlineStr"/>
      <c r="G6" s="10" t="inlineStr"/>
    </row>
    <row r="7">
      <c r="A7" s="14" t="n">
        <v>3</v>
      </c>
      <c r="B7" s="4" t="inlineStr">
        <is>
          <t>nb00_pipeline_check</t>
        </is>
      </c>
      <c r="C7" s="5" t="inlineStr">
        <is>
          <t>적재 문제를 잡아내는가 (미달 3건)</t>
        </is>
      </c>
      <c r="D7" s="14" t="inlineStr">
        <is>
          <t>불필요</t>
        </is>
      </c>
      <c r="E7" s="14" t="inlineStr">
        <is>
          <t>20분</t>
        </is>
      </c>
      <c r="F7" s="9" t="inlineStr"/>
      <c r="G7" s="10" t="inlineStr"/>
    </row>
    <row r="8">
      <c r="A8" s="14" t="n">
        <v>4</v>
      </c>
      <c r="B8" s="4" t="inlineStr">
        <is>
          <t>nb03_bm25_tokenizer</t>
        </is>
      </c>
      <c r="C8" s="5" t="inlineStr">
        <is>
          <t>한국어 조사 처리의 영향</t>
        </is>
      </c>
      <c r="D8" s="14" t="inlineStr">
        <is>
          <t>불필요</t>
        </is>
      </c>
      <c r="E8" s="14" t="inlineStr">
        <is>
          <t>20분</t>
        </is>
      </c>
      <c r="F8" s="9" t="inlineStr"/>
      <c r="G8" s="10" t="inlineStr"/>
    </row>
    <row r="9">
      <c r="A9" s="14" t="n">
        <v>5</v>
      </c>
      <c r="B9" s="4" t="inlineStr">
        <is>
          <t>nb06_retrieval_eval</t>
        </is>
      </c>
      <c r="C9" s="5" t="inlineStr">
        <is>
          <t>★ 검색 지표 — 방식 6종 비교</t>
        </is>
      </c>
      <c r="D9" s="14" t="inlineStr">
        <is>
          <t>불필요</t>
        </is>
      </c>
      <c r="E9" s="14" t="inlineStr">
        <is>
          <t>40분</t>
        </is>
      </c>
      <c r="F9" s="9" t="inlineStr"/>
      <c r="G9" s="10" t="inlineStr"/>
    </row>
    <row r="10">
      <c r="A10" s="14" t="n">
        <v>6</v>
      </c>
      <c r="B10" s="4" t="inlineStr">
        <is>
          <t>nb10_answer_eval</t>
        </is>
      </c>
      <c r="C10" s="5" t="inlineStr">
        <is>
          <t>★ 답변 지표 — 모범답변 vs 추출식</t>
        </is>
      </c>
      <c r="D10" s="14" t="inlineStr">
        <is>
          <t>불필요</t>
        </is>
      </c>
      <c r="E10" s="14" t="inlineStr">
        <is>
          <t>30분</t>
        </is>
      </c>
      <c r="F10" s="9" t="inlineStr"/>
      <c r="G10" s="10" t="inlineStr"/>
    </row>
    <row r="11">
      <c r="A11" s="14" t="inlineStr">
        <is>
          <t>-</t>
        </is>
      </c>
      <c r="B11" s="4" t="inlineStr">
        <is>
          <t>nb12 · nb13</t>
        </is>
      </c>
      <c r="C11" s="5" t="inlineStr">
        <is>
          <t>골든셋 생성 · 프리셋 비교 — 사내에서</t>
        </is>
      </c>
      <c r="D11" s="14" t="inlineStr">
        <is>
          <t>필요</t>
        </is>
      </c>
      <c r="E11" s="14" t="inlineStr">
        <is>
          <t>-</t>
        </is>
      </c>
      <c r="F11" s="9" t="inlineStr"/>
      <c r="G11" s="10" t="inlineStr"/>
    </row>
    <row r="12">
      <c r="A12" s="14" t="inlineStr">
        <is>
          <t>-</t>
        </is>
      </c>
      <c r="B12" s="4" t="inlineStr">
        <is>
          <t>nb04 · nb05 · nb07 · nb08 · nb09 · nb11</t>
        </is>
      </c>
      <c r="C12" s="5" t="inlineStr">
        <is>
          <t>Milvus · 스모크 · 정형연계 · 자동평가 · 양식 연결</t>
        </is>
      </c>
      <c r="D12" s="14" t="inlineStr">
        <is>
          <t>일부 필요</t>
        </is>
      </c>
      <c r="E12" s="14" t="inlineStr">
        <is>
          <t>-</t>
        </is>
      </c>
      <c r="F12" s="9" t="inlineStr"/>
      <c r="G12" s="10" t="inlineStr"/>
    </row>
  </sheetData>
  <mergeCells count="2">
    <mergeCell ref="A2:G2"/>
    <mergeCell ref="A1:G1"/>
  </mergeCells>
  <dataValidations count="1">
    <dataValidation sqref="F5:F12" showDropDown="0" showInputMessage="0" showErrorMessage="0" allowBlank="1" type="list">
      <formula1>"완료,진행,미착수"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40" customWidth="1" min="4" max="4"/>
    <col width="34" customWidth="1" min="5" max="5"/>
    <col width="11" customWidth="1" min="6" max="6"/>
    <col width="26" customWidth="1" min="7" max="7"/>
    <col width="9" customWidth="1" min="8" max="8"/>
    <col width="26" customWidth="1" min="9" max="9"/>
  </cols>
  <sheetData>
    <row r="1">
      <c r="A1" s="8" t="inlineStr">
        <is>
          <t>2. 사내 실행 순서</t>
        </is>
      </c>
    </row>
    <row r="2">
      <c r="A2" s="2" t="inlineStr">
        <is>
          <t>.env → LAB_MODE=live (SAMPLE_SET · SAMPLE_MODELS 삭제) · F~I 열 기입</t>
        </is>
      </c>
    </row>
    <row r="4">
      <c r="A4" s="3" t="inlineStr">
        <is>
          <t>순서</t>
        </is>
      </c>
      <c r="B4" s="3" t="inlineStr">
        <is>
          <t>실행 파일</t>
        </is>
      </c>
      <c r="C4" s="3" t="inlineStr">
        <is>
          <t>목적</t>
        </is>
      </c>
      <c r="D4" s="3" t="inlineStr">
        <is>
          <t>통과 기준 · 판단</t>
        </is>
      </c>
      <c r="E4" s="3" t="inlineStr">
        <is>
          <t>결과 기록 위치</t>
        </is>
      </c>
      <c r="F4" s="3" t="inlineStr">
        <is>
          <t>실행일</t>
        </is>
      </c>
      <c r="G4" s="3" t="inlineStr">
        <is>
          <t>결과</t>
        </is>
      </c>
      <c r="H4" s="3" t="inlineStr">
        <is>
          <t>상태</t>
        </is>
      </c>
      <c r="I4" s="3" t="inlineStr">
        <is>
          <t>메모</t>
        </is>
      </c>
    </row>
    <row r="5">
      <c r="A5" s="14" t="n">
        <v>0</v>
      </c>
      <c r="B5" s="4" t="inlineStr">
        <is>
          <t>lab_config.py 수정</t>
        </is>
      </c>
      <c r="C5" s="5" t="inlineStr">
        <is>
          <t>[사내 맞춤] 블록에 실제 테이블 · 컬럼명 기입</t>
        </is>
      </c>
      <c r="D5" s="5" t="inlineStr">
        <is>
          <t>샘플 없이 load_raw() 가 돌면 성공</t>
        </is>
      </c>
      <c r="E5" s="5" t="inlineStr">
        <is>
          <t>-</t>
        </is>
      </c>
      <c r="F5" s="9" t="inlineStr"/>
      <c r="G5" s="10" t="inlineStr"/>
      <c r="H5" s="9" t="inlineStr"/>
      <c r="I5" s="10" t="inlineStr"/>
    </row>
    <row r="6">
      <c r="A6" s="14" t="n">
        <v>1</v>
      </c>
      <c r="B6" s="4" t="inlineStr">
        <is>
          <t>nb00_pipeline_check</t>
        </is>
      </c>
      <c r="C6" s="5" t="inlineStr">
        <is>
          <t>적재 · 메타 · 청킹 · 인덱싱 무결성 점검</t>
        </is>
      </c>
      <c r="D6" s="5" t="inlineStr">
        <is>
          <t>미달 0 건 — 아니면 여기서 멈추고 데이터부터 조치</t>
        </is>
      </c>
      <c r="E6" s="5" t="inlineStr">
        <is>
          <t>이력대장 3_파이프라인점검</t>
        </is>
      </c>
      <c r="F6" s="9" t="inlineStr"/>
      <c r="G6" s="10" t="inlineStr"/>
      <c r="H6" s="9" t="inlineStr"/>
      <c r="I6" s="10" t="inlineStr"/>
    </row>
    <row r="7">
      <c r="A7" s="14" t="n">
        <v>2</v>
      </c>
      <c r="B7" s="4" t="inlineStr">
        <is>
          <t>nb01_inventory</t>
        </is>
      </c>
      <c r="C7" s="5" t="inlineStr">
        <is>
          <t>소스별 문서 수 · 기간 · 편중 확인</t>
        </is>
      </c>
      <c r="D7" s="5" t="inlineStr">
        <is>
          <t>수집 공백 기간 파악</t>
        </is>
      </c>
      <c r="E7" s="5" t="inlineStr">
        <is>
          <t>이력대장 3_파이프라인점검</t>
        </is>
      </c>
      <c r="F7" s="9" t="inlineStr"/>
      <c r="G7" s="10" t="inlineStr"/>
      <c r="H7" s="9" t="inlineStr"/>
      <c r="I7" s="10" t="inlineStr"/>
    </row>
    <row r="8">
      <c r="A8" s="14" t="n">
        <v>3</v>
      </c>
      <c r="B8" s="4" t="inlineStr">
        <is>
          <t>nb02_parse_chunk</t>
        </is>
      </c>
      <c r="C8" s="5" t="inlineStr">
        <is>
          <t>파싱 · 청킹 품질 — 노이즈 · 표 손상 · 절단</t>
        </is>
      </c>
      <c r="D8" s="5" t="inlineStr">
        <is>
          <t>초단문 비율 · 노이즈 잔존율 확인</t>
        </is>
      </c>
      <c r="E8" s="5" t="inlineStr">
        <is>
          <t>이력대장 3_파이프라인점검</t>
        </is>
      </c>
      <c r="F8" s="9" t="inlineStr"/>
      <c r="G8" s="10" t="inlineStr"/>
      <c r="H8" s="9" t="inlineStr"/>
      <c r="I8" s="10" t="inlineStr"/>
    </row>
    <row r="9">
      <c r="A9" s="14" t="n">
        <v>4</v>
      </c>
      <c r="B9" s="4" t="inlineStr">
        <is>
          <t>nb04_milvus</t>
        </is>
      </c>
      <c r="C9" s="5" t="inlineStr">
        <is>
          <t>인덱스 구성 · Oracle 과 건수 일치</t>
        </is>
      </c>
      <c r="D9" s="5" t="inlineStr">
        <is>
          <t>인덱싱 / 청크 ≥ 0.99</t>
        </is>
      </c>
      <c r="E9" s="5" t="inlineStr">
        <is>
          <t>이력대장 3_파이프라인점검</t>
        </is>
      </c>
      <c r="F9" s="9" t="inlineStr"/>
      <c r="G9" s="10" t="inlineStr"/>
      <c r="H9" s="9" t="inlineStr"/>
      <c r="I9" s="10" t="inlineStr"/>
    </row>
    <row r="10">
      <c r="A10" s="14" t="n">
        <v>5</v>
      </c>
      <c r="B10" s="4" t="inlineStr">
        <is>
          <t>nb12_golden_llm</t>
        </is>
      </c>
      <c r="C10" s="5" t="inlineStr">
        <is>
          <t>★ 코퍼스에서 골든셋 생성 → 검수 → 확정</t>
        </is>
      </c>
      <c r="D10" s="5" t="inlineStr">
        <is>
          <t>자가검증 통과 ≥ 70% · 유형 배분 적정</t>
        </is>
      </c>
      <c r="E10" s="5" t="inlineStr">
        <is>
          <t>평가팩 1b_LLM골든셋_검수</t>
        </is>
      </c>
      <c r="F10" s="9" t="inlineStr"/>
      <c r="G10" s="10" t="inlineStr"/>
      <c r="H10" s="9" t="inlineStr"/>
      <c r="I10" s="10" t="inlineStr"/>
    </row>
    <row r="11">
      <c r="A11" s="14" t="n">
        <v>6</v>
      </c>
      <c r="B11" s="4" t="inlineStr">
        <is>
          <t>nb06_retrieval_eval</t>
        </is>
      </c>
      <c r="C11" s="5" t="inlineStr">
        <is>
          <t>★ 검색 지표 기준선 측정</t>
        </is>
      </c>
      <c r="D11" s="5" t="inlineStr">
        <is>
          <t>R@5 ≥ 0.80 · R@10 ≥ 0.90 · MRR ≥ 0.65</t>
        </is>
      </c>
      <c r="E11" s="5" t="inlineStr">
        <is>
          <t>평가팩 3_평가_실행기록</t>
        </is>
      </c>
      <c r="F11" s="9" t="inlineStr"/>
      <c r="G11" s="10" t="inlineStr"/>
      <c r="H11" s="9" t="inlineStr"/>
      <c r="I11" s="10" t="inlineStr"/>
    </row>
    <row r="12">
      <c r="A12" s="14" t="n">
        <v>7</v>
      </c>
      <c r="B12" s="4" t="inlineStr">
        <is>
          <t>nb10_answer_eval</t>
        </is>
      </c>
      <c r="C12" s="5" t="inlineStr">
        <is>
          <t>★ 답변 지표 기준선 측정</t>
        </is>
      </c>
      <c r="D12" s="5" t="inlineStr">
        <is>
          <t>충실도 ≥ 0.85 · 정확도 ≥ 0.75 · 인용 ≥ 0.90</t>
        </is>
      </c>
      <c r="E12" s="5" t="inlineStr">
        <is>
          <t>이력대장 7_지표현황</t>
        </is>
      </c>
      <c r="F12" s="9" t="inlineStr"/>
      <c r="G12" s="10" t="inlineStr"/>
      <c r="H12" s="9" t="inlineStr"/>
      <c r="I12" s="10" t="inlineStr"/>
    </row>
    <row r="13">
      <c r="A13" s="14" t="n">
        <v>8</v>
      </c>
      <c r="B13" s="4" t="inlineStr">
        <is>
          <t>nb13_langgraph_rag</t>
        </is>
      </c>
      <c r="C13" s="5" t="inlineStr">
        <is>
          <t>★ 프리셋별 비교 → 운영 구성 확정</t>
        </is>
      </c>
      <c r="D13" s="5" t="inlineStr">
        <is>
          <t>기준선 대비 증가분 &gt; 표본오차</t>
        </is>
      </c>
      <c r="E13" s="5" t="inlineStr">
        <is>
          <t>이력대장 5_실험이력 · 6_프리셋비교</t>
        </is>
      </c>
      <c r="F13" s="9" t="inlineStr"/>
      <c r="G13" s="10" t="inlineStr"/>
      <c r="H13" s="9" t="inlineStr"/>
      <c r="I13" s="10" t="inlineStr"/>
    </row>
    <row r="14">
      <c r="A14" s="14" t="n">
        <v>9</v>
      </c>
      <c r="B14" s="4" t="inlineStr">
        <is>
          <t>nb03_bm25_tokenizer</t>
        </is>
      </c>
      <c r="C14" s="5" t="inlineStr">
        <is>
          <t>한국어 토크나이저 결정</t>
        </is>
      </c>
      <c r="D14" s="5" t="inlineStr">
        <is>
          <t>Kiwi 적용 시 적중률 개선 폭 확인</t>
        </is>
      </c>
      <c r="E14" s="5" t="inlineStr">
        <is>
          <t>이력대장 5_실험이력</t>
        </is>
      </c>
      <c r="F14" s="9" t="inlineStr"/>
      <c r="G14" s="10" t="inlineStr"/>
      <c r="H14" s="9" t="inlineStr"/>
      <c r="I14" s="10" t="inlineStr"/>
    </row>
    <row r="15">
      <c r="A15" s="14" t="n">
        <v>10</v>
      </c>
      <c r="B15" s="4" t="inlineStr">
        <is>
          <t>nb08_auto_eval</t>
        </is>
      </c>
      <c r="C15" s="5" t="inlineStr">
        <is>
          <t>라벨 없는 회귀 점검 (월 1회)</t>
        </is>
      </c>
      <c r="D15" s="5" t="inlineStr">
        <is>
          <t>이전 회차 대비 퇴행 없음</t>
        </is>
      </c>
      <c r="E15" s="5" t="inlineStr">
        <is>
          <t>이력대장 5_실험이력</t>
        </is>
      </c>
      <c r="F15" s="9" t="inlineStr"/>
      <c r="G15" s="10" t="inlineStr"/>
      <c r="H15" s="9" t="inlineStr"/>
      <c r="I15" s="10" t="inlineStr"/>
    </row>
    <row r="16">
      <c r="A16" s="14" t="n">
        <v>11</v>
      </c>
      <c r="B16" s="4" t="inlineStr">
        <is>
          <t>nb11_evidence_link</t>
        </is>
      </c>
      <c r="C16" s="5" t="inlineStr">
        <is>
          <t>사외 60문항에 근거 연결 · 수집 공백 목록화</t>
        </is>
      </c>
      <c r="D16" s="5" t="inlineStr">
        <is>
          <t>근거 확보분만 점수 집계</t>
        </is>
      </c>
      <c r="E16" s="5" t="inlineStr">
        <is>
          <t>평가팩 2d · 2e</t>
        </is>
      </c>
      <c r="F16" s="9" t="inlineStr"/>
      <c r="G16" s="10" t="inlineStr"/>
      <c r="H16" s="9" t="inlineStr"/>
      <c r="I16" s="10" t="inlineStr"/>
    </row>
    <row r="17">
      <c r="A17" s="14" t="n">
        <v>12</v>
      </c>
      <c r="B17" s="4" t="inlineStr">
        <is>
          <t>nb05_smoke_test</t>
        </is>
      </c>
      <c r="C17" s="5" t="inlineStr">
        <is>
          <t>실제 질문 20건 체감 점검</t>
        </is>
      </c>
      <c r="D17" s="5" t="inlineStr">
        <is>
          <t>실패 유형 5종 집계</t>
        </is>
      </c>
      <c r="E17" s="5" t="inlineStr">
        <is>
          <t>평가팩 스모크 시트</t>
        </is>
      </c>
      <c r="F17" s="9" t="inlineStr"/>
      <c r="G17" s="10" t="inlineStr"/>
      <c r="H17" s="9" t="inlineStr"/>
      <c r="I17" s="10" t="inlineStr"/>
    </row>
    <row r="18">
      <c r="A18" s="14" t="n">
        <v>13</v>
      </c>
      <c r="B18" s="4" t="inlineStr">
        <is>
          <t>nb07_sql_router</t>
        </is>
      </c>
      <c r="C18" s="5" t="inlineStr">
        <is>
          <t>정형 데이터 연계 (지표 정의서 작성 후)</t>
        </is>
      </c>
      <c r="D18" s="5" t="inlineStr">
        <is>
          <t>차단 규칙 100% · 실행 정확도 확인</t>
        </is>
      </c>
      <c r="E18" s="5" t="inlineStr">
        <is>
          <t>이력대장 7_지표현황</t>
        </is>
      </c>
      <c r="F18" s="9" t="inlineStr"/>
      <c r="G18" s="10" t="inlineStr"/>
      <c r="H18" s="9" t="inlineStr"/>
      <c r="I18" s="10" t="inlineStr"/>
    </row>
    <row r="19">
      <c r="A19" s="14" t="n">
        <v>14</v>
      </c>
      <c r="B19" s="4" t="inlineStr">
        <is>
          <t>nb09_golden_build</t>
        </is>
      </c>
      <c r="C19" s="5" t="inlineStr">
        <is>
          <t>엑셀 양식과 골든셋 연결 (필요 시)</t>
        </is>
      </c>
      <c r="D19" s="5" t="inlineStr">
        <is>
          <t>-</t>
        </is>
      </c>
      <c r="E19" s="5" t="inlineStr">
        <is>
          <t>평가팩 1 · 2</t>
        </is>
      </c>
      <c r="F19" s="9" t="inlineStr"/>
      <c r="G19" s="10" t="inlineStr"/>
      <c r="H19" s="9" t="inlineStr"/>
      <c r="I19" s="10" t="inlineStr"/>
    </row>
    <row r="21">
      <c r="A21" s="11" t="inlineStr">
        <is>
          <t>집계</t>
        </is>
      </c>
    </row>
    <row r="22">
      <c r="A22" s="7" t="inlineStr">
        <is>
          <t>전체</t>
        </is>
      </c>
      <c r="B22" s="12">
        <f>COUNTIF(B5:B19,"&lt;&gt;")</f>
        <v>15</v>
      </c>
    </row>
    <row r="23">
      <c r="A23" s="7" t="inlineStr">
        <is>
          <t>완료</t>
        </is>
      </c>
      <c r="B23" s="12">
        <f>COUNTIF(H5:H19,"완료")</f>
        <v>0</v>
      </c>
    </row>
    <row r="24">
      <c r="A24" s="7" t="inlineStr">
        <is>
          <t>진행률</t>
        </is>
      </c>
      <c r="B24" s="13">
        <f>IFERROR(COUNTIF(H5:H19,"완료")/COUNTIF(B5:B19,"&lt;&gt;"),"")</f>
        <v>0.0</v>
      </c>
    </row>
    <row r="26">
      <c r="A26" s="15" t="inlineStr">
        <is>
          <t>1~4 는 데이터 점검</t>
        </is>
      </c>
      <c r="B26" s="16" t="inlineStr">
        <is>
          <t>여기서 미달이 나오면 5번 이후를 진행해도 점수 해석이 불가능</t>
        </is>
      </c>
      <c r="C26" s="17" t="n"/>
      <c r="D26" s="17" t="n"/>
      <c r="E26" s="17" t="n"/>
      <c r="F26" s="17" t="n"/>
      <c r="G26" s="17" t="n"/>
      <c r="H26" s="17" t="n"/>
      <c r="I26" s="18" t="n"/>
    </row>
    <row r="27">
      <c r="A27" s="15" t="inlineStr">
        <is>
          <t>5 는 채점표 만들기</t>
        </is>
      </c>
      <c r="B27" s="16" t="inlineStr">
        <is>
          <t>LLM 필요. 사내 LLM 엔드포인트가 없으면 nb08 자동 평가셋으로 대체</t>
        </is>
      </c>
      <c r="C27" s="17" t="n"/>
      <c r="D27" s="17" t="n"/>
      <c r="E27" s="17" t="n"/>
      <c r="F27" s="17" t="n"/>
      <c r="G27" s="17" t="n"/>
      <c r="H27" s="17" t="n"/>
      <c r="I27" s="18" t="n"/>
    </row>
    <row r="28">
      <c r="A28" s="15" t="inlineStr">
        <is>
          <t>6 · 7 이 기준선</t>
        </is>
      </c>
      <c r="B28" s="16" t="inlineStr">
        <is>
          <t>이 값이 이후 모든 비교의 원점. 설정을 바꾸기 전에 반드시 먼저 측정</t>
        </is>
      </c>
      <c r="C28" s="17" t="n"/>
      <c r="D28" s="17" t="n"/>
      <c r="E28" s="17" t="n"/>
      <c r="F28" s="17" t="n"/>
      <c r="G28" s="17" t="n"/>
      <c r="H28" s="17" t="n"/>
      <c r="I28" s="18" t="n"/>
    </row>
    <row r="29">
      <c r="A29" s="15" t="inlineStr">
        <is>
          <t>8 부터 개선</t>
        </is>
      </c>
      <c r="B29" s="16" t="inlineStr">
        <is>
          <t>회차당 설정 1개만 변경 · 같은 골든셋 고정</t>
        </is>
      </c>
      <c r="C29" s="17" t="n"/>
      <c r="D29" s="17" t="n"/>
      <c r="E29" s="17" t="n"/>
      <c r="F29" s="17" t="n"/>
      <c r="G29" s="17" t="n"/>
      <c r="H29" s="17" t="n"/>
      <c r="I29" s="18" t="n"/>
    </row>
  </sheetData>
  <mergeCells count="6">
    <mergeCell ref="A2:I2"/>
    <mergeCell ref="B29:I29"/>
    <mergeCell ref="A1:I1"/>
    <mergeCell ref="B28:I28"/>
    <mergeCell ref="B27:I27"/>
    <mergeCell ref="B26:I26"/>
  </mergeCells>
  <conditionalFormatting sqref="H5:H19">
    <cfRule type="cellIs" priority="1" operator="equal" dxfId="0">
      <formula>"완료"</formula>
    </cfRule>
    <cfRule type="cellIs" priority="2" operator="equal" dxfId="2">
      <formula>"진행"</formula>
    </cfRule>
    <cfRule type="cellIs" priority="3" operator="equal" dxfId="3">
      <formula>"해당없음"</formula>
    </cfRule>
  </conditionalFormatting>
  <dataValidations count="1">
    <dataValidation sqref="H5:H19" showDropDown="0" showInputMessage="0" showErrorMessage="0" allowBlank="1" type="list">
      <formula1>"완료,진행,미착수,해당없음"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8" customWidth="1" min="3" max="3"/>
    <col width="6" customWidth="1" min="4" max="4"/>
    <col width="38" customWidth="1" min="5" max="5"/>
    <col width="38" customWidth="1" min="6" max="6"/>
    <col width="24" customWidth="1" min="7" max="7"/>
    <col width="30" customWidth="1" min="8" max="8"/>
  </cols>
  <sheetData>
    <row r="1">
      <c r="A1" s="8" t="inlineStr">
        <is>
          <t>3. 노트북 14개 상세</t>
        </is>
      </c>
    </row>
    <row r="2">
      <c r="A2" s="2" t="inlineStr">
        <is>
          <t>구분 — 핵심: 반드시 / 선택: 필요할 때 / 참고: 이해용 · 체크리스트 = docs/rag_checklist_rev10.xlsx</t>
        </is>
      </c>
    </row>
    <row r="4">
      <c r="A4" s="3" t="inlineStr">
        <is>
          <t>파일</t>
        </is>
      </c>
      <c r="B4" s="3" t="inlineStr">
        <is>
          <t>한 줄 목적</t>
        </is>
      </c>
      <c r="C4" s="3" t="inlineStr">
        <is>
          <t>구분</t>
        </is>
      </c>
      <c r="D4" s="3" t="inlineStr">
        <is>
          <t>셀</t>
        </is>
      </c>
      <c r="E4" s="3" t="inlineStr">
        <is>
          <t>체크리스트 위치</t>
        </is>
      </c>
      <c r="F4" s="3" t="inlineStr">
        <is>
          <t>출력(무엇이 나오나)</t>
        </is>
      </c>
      <c r="G4" s="3" t="inlineStr">
        <is>
          <t>주요 확인 변수</t>
        </is>
      </c>
      <c r="H4" s="3" t="inlineStr">
        <is>
          <t>기록 위치</t>
        </is>
      </c>
    </row>
    <row r="5">
      <c r="A5" s="19" t="inlineStr">
        <is>
          <t>nb00_pipeline_check</t>
        </is>
      </c>
      <c r="B5" s="20" t="inlineStr">
        <is>
          <t>적재 · 메타 · 청킹 · 인덱싱 무결성 점검</t>
        </is>
      </c>
      <c r="C5" s="21" t="inlineStr">
        <is>
          <t>핵심</t>
        </is>
      </c>
      <c r="D5" s="21" t="n">
        <v>11</v>
      </c>
      <c r="E5" s="20" t="inlineStr">
        <is>
          <t>[단계별_실행도구] S00 · [P1_적재공통]</t>
        </is>
      </c>
      <c r="F5" s="20" t="inlineStr">
        <is>
          <t>단계별 점검표 · 미달 항목 목록 · 소스별 분포</t>
        </is>
      </c>
      <c r="G5" s="20" t="inlineStr">
        <is>
          <t>rep · fail · dist</t>
        </is>
      </c>
      <c r="H5" s="20" t="inlineStr">
        <is>
          <t>이력대장 3_파이프라인점검</t>
        </is>
      </c>
    </row>
    <row r="6">
      <c r="A6" s="4" t="inlineStr">
        <is>
          <t>nb01_inventory</t>
        </is>
      </c>
      <c r="B6" s="5" t="inlineStr">
        <is>
          <t>적재 현황 조사 — 소스별 분포 · 기간</t>
        </is>
      </c>
      <c r="C6" s="14" t="inlineStr">
        <is>
          <t>선택</t>
        </is>
      </c>
      <c r="D6" s="14" t="n">
        <v>7</v>
      </c>
      <c r="E6" s="5" t="inlineStr">
        <is>
          <t>[P1_적재공통] S01 · S05</t>
        </is>
      </c>
      <c r="F6" s="5" t="inlineStr">
        <is>
          <t>소스별 건수 · 기간 · 메타 채움률 · 중복</t>
        </is>
      </c>
      <c r="G6" s="5" t="inlineStr">
        <is>
          <t>inv · dup</t>
        </is>
      </c>
      <c r="H6" s="5" t="inlineStr">
        <is>
          <t>이력대장 3_파이프라인점검</t>
        </is>
      </c>
    </row>
    <row r="7">
      <c r="A7" s="19" t="inlineStr">
        <is>
          <t>nb02_parse_chunk</t>
        </is>
      </c>
      <c r="B7" s="20" t="inlineStr">
        <is>
          <t>파싱 · 청킹 품질 점검</t>
        </is>
      </c>
      <c r="C7" s="21" t="inlineStr">
        <is>
          <t>핵심</t>
        </is>
      </c>
      <c r="D7" s="21" t="n">
        <v>9</v>
      </c>
      <c r="E7" s="20" t="inlineStr">
        <is>
          <t>[P1_적재공통] S02 · S03 · S04</t>
        </is>
      </c>
      <c r="F7" s="20" t="inlineStr">
        <is>
          <t>청크 길이 분포 · 노이즈 잔존 · 표 손상 · 문장 절단</t>
        </is>
      </c>
      <c r="G7" s="20" t="inlineStr">
        <is>
          <t>prof · issues</t>
        </is>
      </c>
      <c r="H7" s="20" t="inlineStr">
        <is>
          <t>이력대장 3_파이프라인점검</t>
        </is>
      </c>
    </row>
    <row r="8">
      <c r="A8" s="4" t="inlineStr">
        <is>
          <t>nb03_bm25_tokenizer</t>
        </is>
      </c>
      <c r="B8" s="5" t="inlineStr">
        <is>
          <t>한국어 토크나이저 3종 비교</t>
        </is>
      </c>
      <c r="C8" s="14" t="inlineStr">
        <is>
          <t>선택</t>
        </is>
      </c>
      <c r="D8" s="14" t="n">
        <v>7</v>
      </c>
      <c r="E8" s="5" t="inlineStr">
        <is>
          <t>[P1_검색] S09</t>
        </is>
      </c>
      <c r="F8" s="5" t="inlineStr">
        <is>
          <t>공백 / 조사제거 / Kiwi 별 적중률</t>
        </is>
      </c>
      <c r="G8" s="5" t="inlineStr">
        <is>
          <t>cmp</t>
        </is>
      </c>
      <c r="H8" s="5" t="inlineStr">
        <is>
          <t>이력대장 5_실험이력</t>
        </is>
      </c>
    </row>
    <row r="9">
      <c r="A9" s="4" t="inlineStr">
        <is>
          <t>nb04_milvus</t>
        </is>
      </c>
      <c r="B9" s="5" t="inlineStr">
        <is>
          <t>인덱스 구성 · 건수 정합성</t>
        </is>
      </c>
      <c r="C9" s="14" t="inlineStr">
        <is>
          <t>선택</t>
        </is>
      </c>
      <c r="D9" s="14" t="n">
        <v>6</v>
      </c>
      <c r="E9" s="5" t="inlineStr">
        <is>
          <t>[P1_적재공통] S06 · [P1_검색] S10</t>
        </is>
      </c>
      <c r="F9" s="5" t="inlineStr">
        <is>
          <t>스키마 · 필드 · 건수 비교 · 필터 검색</t>
        </is>
      </c>
      <c r="G9" s="5" t="inlineStr">
        <is>
          <t>info · cnt</t>
        </is>
      </c>
      <c r="H9" s="5" t="inlineStr">
        <is>
          <t>이력대장 3_파이프라인점검</t>
        </is>
      </c>
    </row>
    <row r="10">
      <c r="A10" s="4" t="inlineStr">
        <is>
          <t>nb05_smoke_test</t>
        </is>
      </c>
      <c r="B10" s="5" t="inlineStr">
        <is>
          <t>실제 질문 20건 체감 점검</t>
        </is>
      </c>
      <c r="C10" s="14" t="inlineStr">
        <is>
          <t>선택</t>
        </is>
      </c>
      <c r="D10" s="14" t="n">
        <v>5</v>
      </c>
      <c r="E10" s="5" t="inlineStr">
        <is>
          <t>[P1_검색] S07 · [스모크20]</t>
        </is>
      </c>
      <c r="F10" s="5" t="inlineStr">
        <is>
          <t>문항별 검색 결과 · 판정용 엑셀</t>
        </is>
      </c>
      <c r="G10" s="5" t="inlineStr">
        <is>
          <t>smoke</t>
        </is>
      </c>
      <c r="H10" s="5" t="inlineStr">
        <is>
          <t>평가팩 스모크 시트</t>
        </is>
      </c>
    </row>
    <row r="11">
      <c r="A11" s="19" t="inlineStr">
        <is>
          <t>nb06_retrieval_eval</t>
        </is>
      </c>
      <c r="B11" s="20" t="inlineStr">
        <is>
          <t>검색 지표 측정 — 모드 6종 비교</t>
        </is>
      </c>
      <c r="C11" s="21" t="inlineStr">
        <is>
          <t>핵심</t>
        </is>
      </c>
      <c r="D11" s="21" t="n">
        <v>9</v>
      </c>
      <c r="E11" s="20" t="inlineStr">
        <is>
          <t>[P1_검색] S09~S12 · S15</t>
        </is>
      </c>
      <c r="F11" s="20" t="inlineStr">
        <is>
          <t>Recall@k · MRR · nDCG 모드별 표 · 유형별 분해</t>
        </is>
      </c>
      <c r="G11" s="20" t="inlineStr">
        <is>
          <t>summary · detail</t>
        </is>
      </c>
      <c r="H11" s="20" t="inlineStr">
        <is>
          <t>평가팩 3_평가_실행기록</t>
        </is>
      </c>
    </row>
    <row r="12">
      <c r="A12" s="4" t="inlineStr">
        <is>
          <t>nb07_sql_router</t>
        </is>
      </c>
      <c r="B12" s="5" t="inlineStr">
        <is>
          <t>정형 데이터 연계 — 라우팅 · SQL · 검증</t>
        </is>
      </c>
      <c r="C12" s="14" t="inlineStr">
        <is>
          <t>선택</t>
        </is>
      </c>
      <c r="D12" s="14" t="n">
        <v>10</v>
      </c>
      <c r="E12" s="5" t="inlineStr">
        <is>
          <t>[P3_정형연계] S22~S29</t>
        </is>
      </c>
      <c r="F12" s="5" t="inlineStr">
        <is>
          <t>라우팅 정확도 · 차단 규칙 · 실행 정확도(EX)</t>
        </is>
      </c>
      <c r="G12" s="5" t="inlineStr">
        <is>
          <t>route · ex</t>
        </is>
      </c>
      <c r="H12" s="5" t="inlineStr">
        <is>
          <t>이력대장 7_지표현황</t>
        </is>
      </c>
    </row>
    <row r="13">
      <c r="A13" s="4" t="inlineStr">
        <is>
          <t>nb08_auto_eval</t>
        </is>
      </c>
      <c r="B13" s="5" t="inlineStr">
        <is>
          <t>라벨 없는 평가셋 자동 생성 · 측정</t>
        </is>
      </c>
      <c r="C13" s="14" t="inlineStr">
        <is>
          <t>선택</t>
        </is>
      </c>
      <c r="D13" s="14" t="n">
        <v>9</v>
      </c>
      <c r="E13" s="5" t="inlineStr">
        <is>
          <t>[P1_검색] S15</t>
        </is>
      </c>
      <c r="F13" s="5" t="inlineStr">
        <is>
          <t>known-item · 제목 · 중복쌍 · 합성 QA 및 기준 대비 판정</t>
        </is>
      </c>
      <c r="G13" s="5" t="inlineStr">
        <is>
          <t>sets · res</t>
        </is>
      </c>
      <c r="H13" s="5" t="inlineStr">
        <is>
          <t>이력대장 5_실험이력</t>
        </is>
      </c>
    </row>
    <row r="14">
      <c r="A14" s="22" t="inlineStr">
        <is>
          <t>nb09_golden_build</t>
        </is>
      </c>
      <c r="B14" s="23" t="inlineStr">
        <is>
          <t>골든셋 구성 → 평가 실행 (엑셀 연계)</t>
        </is>
      </c>
      <c r="C14" s="24" t="inlineStr">
        <is>
          <t>참고</t>
        </is>
      </c>
      <c r="D14" s="24" t="n">
        <v>7</v>
      </c>
      <c r="E14" s="23" t="inlineStr">
        <is>
          <t>체크리스트 없음 — 평가팩 엑셀 연계</t>
        </is>
      </c>
      <c r="F14" s="23" t="inlineStr">
        <is>
          <t>검수 시트 · 확정 골든셋 · 실행 기록 양식</t>
        </is>
      </c>
      <c r="G14" s="23" t="inlineStr">
        <is>
          <t>review · runrec</t>
        </is>
      </c>
      <c r="H14" s="23" t="inlineStr">
        <is>
          <t>평가팩 1 · 2 · 3</t>
        </is>
      </c>
    </row>
    <row r="15">
      <c r="A15" s="19" t="inlineStr">
        <is>
          <t>nb10_answer_eval</t>
        </is>
      </c>
      <c r="B15" s="20" t="inlineStr">
        <is>
          <t>답변 품질 측정 — RAGAS 계열 지표</t>
        </is>
      </c>
      <c r="C15" s="21" t="inlineStr">
        <is>
          <t>핵심</t>
        </is>
      </c>
      <c r="D15" s="21" t="n">
        <v>8</v>
      </c>
      <c r="E15" s="20" t="inlineStr">
        <is>
          <t>[P1_검색] S14 · S15</t>
        </is>
      </c>
      <c r="F15" s="20" t="inlineStr">
        <is>
          <t>충실도 · 적합도 · 정확도 · 인용 · 거절 + 합격 판정</t>
        </is>
      </c>
      <c r="G15" s="20" t="inlineStr">
        <is>
          <t>auto · summary</t>
        </is>
      </c>
      <c r="H15" s="20" t="inlineStr">
        <is>
          <t>이력대장 7_지표현황</t>
        </is>
      </c>
    </row>
    <row r="16">
      <c r="A16" s="4" t="inlineStr">
        <is>
          <t>nb11_evidence_link</t>
        </is>
      </c>
      <c r="B16" s="5" t="inlineStr">
        <is>
          <t>질문에 근거 문서 연결 · 수집 공백 분리</t>
        </is>
      </c>
      <c r="C16" s="14" t="inlineStr">
        <is>
          <t>선택</t>
        </is>
      </c>
      <c r="D16" s="14" t="n">
        <v>6</v>
      </c>
      <c r="E16" s="5" t="inlineStr">
        <is>
          <t>체크리스트 없음 — 평가팩 2d · 2e</t>
        </is>
      </c>
      <c r="F16" s="5" t="inlineStr">
        <is>
          <t>질문별 근거 후보 · 판정 시트 · 수집 공백 목록</t>
        </is>
      </c>
      <c r="G16" s="5" t="inlineStr">
        <is>
          <t>linked · gap</t>
        </is>
      </c>
      <c r="H16" s="5" t="inlineStr">
        <is>
          <t>평가팩 2d · 2e</t>
        </is>
      </c>
    </row>
    <row r="17">
      <c r="A17" s="19" t="inlineStr">
        <is>
          <t>nb12_golden_llm</t>
        </is>
      </c>
      <c r="B17" s="20" t="inlineStr">
        <is>
          <t>LLM 으로 골든셋 생성 · 자가검증 · 검수</t>
        </is>
      </c>
      <c r="C17" s="21" t="inlineStr">
        <is>
          <t>핵심</t>
        </is>
      </c>
      <c r="D17" s="21" t="n">
        <v>9</v>
      </c>
      <c r="E17" s="20" t="inlineStr">
        <is>
          <t>[P1_검색] S15</t>
        </is>
      </c>
      <c r="F17" s="20" t="inlineStr">
        <is>
          <t>질문 · 정답 · 근거 + 자가검증 6항목 + 검수 시트</t>
        </is>
      </c>
      <c r="G17" s="20" t="inlineStr">
        <is>
          <t>gen · chk · gold</t>
        </is>
      </c>
      <c r="H17" s="20" t="inlineStr">
        <is>
          <t>평가팩 1b_LLM골든셋_검수</t>
        </is>
      </c>
    </row>
    <row r="18">
      <c r="A18" s="19" t="inlineStr">
        <is>
          <t>nb13_langgraph_rag</t>
        </is>
      </c>
      <c r="B18" s="20" t="inlineStr">
        <is>
          <t>노드 구성별 비교 — 개선 정량화</t>
        </is>
      </c>
      <c r="C18" s="21" t="inlineStr">
        <is>
          <t>핵심</t>
        </is>
      </c>
      <c r="D18" s="21" t="n">
        <v>9</v>
      </c>
      <c r="E18" s="20" t="inlineStr">
        <is>
          <t>[P1_검색] S08 · S11 · S12 · S14</t>
        </is>
      </c>
      <c r="F18" s="20" t="inlineStr">
        <is>
          <t>프리셋 v0~v6 지표 비교 · 증감 · 퇴행 문항</t>
        </is>
      </c>
      <c r="G18" s="20" t="inlineStr">
        <is>
          <t>summ · dlt · detail</t>
        </is>
      </c>
      <c r="H18" s="20" t="inlineStr">
        <is>
          <t>이력대장 5 · 6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34" customWidth="1" min="4" max="4"/>
    <col width="34" customWidth="1" min="5" max="5"/>
    <col width="8" customWidth="1" min="6" max="6"/>
  </cols>
  <sheetData>
    <row r="1">
      <c r="A1" s="8" t="inlineStr">
        <is>
          <t>4. 설정 기입표</t>
        </is>
      </c>
    </row>
    <row r="2">
      <c r="A2" s="2" t="inlineStr">
        <is>
          <t>여기 적은 뒤 .env 와 lab_config.py 에 옮겨 넣기 · 비밀번호는 적지 말 것</t>
        </is>
      </c>
    </row>
    <row r="4">
      <c r="A4" s="3" t="inlineStr">
        <is>
          <t>구분</t>
        </is>
      </c>
      <c r="B4" s="3" t="inlineStr">
        <is>
          <t>항목</t>
        </is>
      </c>
      <c r="C4" s="3" t="inlineStr">
        <is>
          <t>무엇</t>
        </is>
      </c>
      <c r="D4" s="3" t="inlineStr">
        <is>
          <t>예시 · 기본값</t>
        </is>
      </c>
      <c r="E4" s="3" t="inlineStr">
        <is>
          <t>사내 값 (기입)</t>
        </is>
      </c>
      <c r="F4" s="3" t="inlineStr">
        <is>
          <t>확인</t>
        </is>
      </c>
    </row>
    <row r="5">
      <c r="A5" s="14" t="inlineStr">
        <is>
          <t>.env</t>
        </is>
      </c>
      <c r="B5" s="4" t="inlineStr">
        <is>
          <t>LAB_MODE</t>
        </is>
      </c>
      <c r="C5" s="5" t="inlineStr">
        <is>
          <t>실행 모드</t>
        </is>
      </c>
      <c r="D5" s="5" t="inlineStr">
        <is>
          <t>sample → live</t>
        </is>
      </c>
      <c r="E5" s="10" t="inlineStr"/>
      <c r="F5" s="9" t="inlineStr"/>
    </row>
    <row r="6">
      <c r="A6" s="14" t="inlineStr">
        <is>
          <t>.env</t>
        </is>
      </c>
      <c r="B6" s="4" t="inlineStr">
        <is>
          <t>SAMPLE_SET</t>
        </is>
      </c>
      <c r="C6" s="5" t="inlineStr">
        <is>
          <t>샘플 규모 (연습용)</t>
        </is>
      </c>
      <c r="D6" s="5" t="inlineStr">
        <is>
          <t>16 또는 100</t>
        </is>
      </c>
      <c r="E6" s="10" t="inlineStr"/>
      <c r="F6" s="9" t="inlineStr"/>
    </row>
    <row r="7">
      <c r="A7" s="14" t="inlineStr">
        <is>
          <t>.env</t>
        </is>
      </c>
      <c r="B7" s="4" t="inlineStr">
        <is>
          <t>SAMPLE_MODELS</t>
        </is>
      </c>
      <c r="C7" s="5" t="inlineStr">
        <is>
          <t>샘플 + 실제 모델 (노트북 연습용)</t>
        </is>
      </c>
      <c r="D7" s="5" t="inlineStr">
        <is>
          <t>true / false</t>
        </is>
      </c>
      <c r="E7" s="10" t="inlineStr"/>
      <c r="F7" s="9" t="inlineStr"/>
    </row>
    <row r="8">
      <c r="A8" s="14" t="inlineStr">
        <is>
          <t>.env</t>
        </is>
      </c>
      <c r="B8" s="4" t="inlineStr">
        <is>
          <t>ORA_USER / ORA_DSN</t>
        </is>
      </c>
      <c r="C8" s="5" t="inlineStr">
        <is>
          <t>Oracle 접속 — 읽기 전용 계정</t>
        </is>
      </c>
      <c r="D8" s="5" t="inlineStr">
        <is>
          <t>host:1521/SERVICE</t>
        </is>
      </c>
      <c r="E8" s="10" t="inlineStr"/>
      <c r="F8" s="9" t="inlineStr"/>
    </row>
    <row r="9">
      <c r="A9" s="14" t="inlineStr">
        <is>
          <t>.env</t>
        </is>
      </c>
      <c r="B9" s="4" t="inlineStr">
        <is>
          <t>MILVUS_URI / COLLECTION</t>
        </is>
      </c>
      <c r="C9" s="5" t="inlineStr">
        <is>
          <t>벡터 DB 주소 · 컬렉션</t>
        </is>
      </c>
      <c r="D9" s="5" t="inlineStr">
        <is>
          <t>http://host:19530</t>
        </is>
      </c>
      <c r="E9" s="10" t="inlineStr"/>
      <c r="F9" s="9" t="inlineStr"/>
    </row>
    <row r="10">
      <c r="A10" s="14" t="inlineStr">
        <is>
          <t>.env</t>
        </is>
      </c>
      <c r="B10" s="4" t="inlineStr">
        <is>
          <t>EMBED_MODE / EMBED_URL</t>
        </is>
      </c>
      <c r="C10" s="5" t="inlineStr">
        <is>
          <t>임베딩 방식 · 엔드포인트</t>
        </is>
      </c>
      <c r="D10" s="5" t="inlineStr">
        <is>
          <t>local / api</t>
        </is>
      </c>
      <c r="E10" s="10" t="inlineStr"/>
      <c r="F10" s="9" t="inlineStr"/>
    </row>
    <row r="11">
      <c r="A11" s="14" t="inlineStr">
        <is>
          <t>.env</t>
        </is>
      </c>
      <c r="B11" s="4" t="inlineStr">
        <is>
          <t>RERANK_MODE / RERANK_URL</t>
        </is>
      </c>
      <c r="C11" s="5" t="inlineStr">
        <is>
          <t>리랭커 방식 · 엔드포인트</t>
        </is>
      </c>
      <c r="D11" s="5" t="inlineStr">
        <is>
          <t>local / api / none</t>
        </is>
      </c>
      <c r="E11" s="10" t="inlineStr"/>
      <c r="F11" s="9" t="inlineStr"/>
    </row>
    <row r="12">
      <c r="A12" s="14" t="inlineStr">
        <is>
          <t>.env</t>
        </is>
      </c>
      <c r="B12" s="4" t="inlineStr">
        <is>
          <t>LLM_URL / LLM_MODEL</t>
        </is>
      </c>
      <c r="C12" s="5" t="inlineStr">
        <is>
          <t>사내 LLM (OpenAI 호환)</t>
        </is>
      </c>
      <c r="D12" s="5" t="inlineStr">
        <is>
          <t>.../v1/chat/completions</t>
        </is>
      </c>
      <c r="E12" s="10" t="inlineStr"/>
      <c r="F12" s="9" t="inlineStr"/>
    </row>
    <row r="13">
      <c r="A13" s="14" t="inlineStr">
        <is>
          <t>lab_config</t>
        </is>
      </c>
      <c r="B13" s="4" t="inlineStr">
        <is>
          <t>RAW['table']</t>
        </is>
      </c>
      <c r="C13" s="5" t="inlineStr">
        <is>
          <t>통합 문서 테이블 이름</t>
        </is>
      </c>
      <c r="D13" s="5" t="inlineStr">
        <is>
          <t>RAG_RAW_DOC</t>
        </is>
      </c>
      <c r="E13" s="10" t="inlineStr"/>
      <c r="F13" s="9" t="inlineStr"/>
    </row>
    <row r="14">
      <c r="A14" s="14" t="inlineStr">
        <is>
          <t>lab_config</t>
        </is>
      </c>
      <c r="B14" s="4" t="inlineStr">
        <is>
          <t>RAW 컬럼 9개</t>
        </is>
      </c>
      <c r="C14" s="5" t="inlineStr">
        <is>
          <t>doc_id · doc_type · title · body · published_at · collected_at · org_name · author 등</t>
        </is>
      </c>
      <c r="D14" s="5" t="inlineStr">
        <is>
          <t>위 이름 그대로</t>
        </is>
      </c>
      <c r="E14" s="10" t="inlineStr"/>
      <c r="F14" s="9" t="inlineStr"/>
    </row>
    <row r="15">
      <c r="A15" s="14" t="inlineStr">
        <is>
          <t>lab_config</t>
        </is>
      </c>
      <c r="B15" s="4" t="inlineStr">
        <is>
          <t>CHUNK['table']</t>
        </is>
      </c>
      <c r="C15" s="5" t="inlineStr">
        <is>
          <t>청크 테이블 이름</t>
        </is>
      </c>
      <c r="D15" s="5" t="inlineStr">
        <is>
          <t>RAG_CHUNK</t>
        </is>
      </c>
      <c r="E15" s="10" t="inlineStr"/>
      <c r="F15" s="9" t="inlineStr"/>
    </row>
    <row r="16">
      <c r="A16" s="14" t="inlineStr">
        <is>
          <t>lab_config</t>
        </is>
      </c>
      <c r="B16" s="4" t="inlineStr">
        <is>
          <t>CHUNK 컬럼 4개</t>
        </is>
      </c>
      <c r="C16" s="5" t="inlineStr">
        <is>
          <t>chunk_id · doc_id · seq · text</t>
        </is>
      </c>
      <c r="D16" s="5" t="inlineStr">
        <is>
          <t>위 이름 그대로</t>
        </is>
      </c>
      <c r="E16" s="10" t="inlineStr"/>
      <c r="F16" s="9" t="inlineStr"/>
    </row>
    <row r="17">
      <c r="A17" s="14" t="inlineStr">
        <is>
          <t>lab_config</t>
        </is>
      </c>
      <c r="B17" s="4" t="inlineStr">
        <is>
          <t>MV 필드</t>
        </is>
      </c>
      <c r="C17" s="5" t="inlineStr">
        <is>
          <t>Milvus 필드 이름 (pk · doc_id · text · dense · sparse · doc_type)</t>
        </is>
      </c>
      <c r="D17" s="5" t="inlineStr">
        <is>
          <t>없으면 None</t>
        </is>
      </c>
      <c r="E17" s="10" t="inlineStr"/>
      <c r="F17" s="9" t="inlineStr"/>
    </row>
    <row r="18">
      <c r="A18" s="14" t="inlineStr">
        <is>
          <t>lab_config</t>
        </is>
      </c>
      <c r="B18" s="4" t="inlineStr">
        <is>
          <t>DOC_TYPE_MAP</t>
        </is>
      </c>
      <c r="C18" s="5" t="inlineStr">
        <is>
          <t>사내 유형 코드 → 표준 7종 매핑</t>
        </is>
      </c>
      <c r="D18" s="5" t="inlineStr">
        <is>
          <t>NEWS · BROKER · INSTITUTION · EMAIL · MEETING · REPORT · EXEC_REPORT</t>
        </is>
      </c>
      <c r="E18" s="10" t="inlineStr"/>
      <c r="F18" s="9" t="inlineStr"/>
    </row>
    <row r="19">
      <c r="A19" s="14" t="inlineStr">
        <is>
          <t>lab_config</t>
        </is>
      </c>
      <c r="B19" s="4" t="inlineStr">
        <is>
          <t>EMBED_MAX_LENGTH</t>
        </is>
      </c>
      <c r="C19" s="5" t="inlineStr">
        <is>
          <t>임베딩 최대 토큰 (현재 설정값 그대로)</t>
        </is>
      </c>
      <c r="D19" s="5" t="inlineStr">
        <is>
          <t>8192</t>
        </is>
      </c>
      <c r="E19" s="10" t="inlineStr"/>
      <c r="F19" s="9" t="inlineStr"/>
    </row>
    <row r="21">
      <c r="A21" s="25" t="inlineStr">
        <is>
          <t>주의</t>
        </is>
      </c>
      <c r="B21" s="26" t="inlineStr">
        <is>
          <t>비밀번호 · API 키는 이 표에 적지 않는다. .env 에만 직접 입력하고 파일은 공유하지 않는다.</t>
        </is>
      </c>
      <c r="C21" s="17" t="n"/>
      <c r="D21" s="17" t="n"/>
      <c r="E21" s="17" t="n"/>
      <c r="F21" s="18" t="n"/>
    </row>
  </sheetData>
  <mergeCells count="3">
    <mergeCell ref="B21:F21"/>
    <mergeCell ref="A2:F2"/>
    <mergeCell ref="A1:F1"/>
  </mergeCells>
  <dataValidations count="1">
    <dataValidation sqref="F5:F19" showDropDown="0" showInputMessage="0" showErrorMessage="0" allowBlank="1" type="list">
      <formula1>"확인,미정,해당없음"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20" customWidth="1" min="3" max="3"/>
  </cols>
  <sheetData>
    <row r="1">
      <c r="A1" s="8" t="inlineStr">
        <is>
          <t>5. 라이브러리 파일 13개 — 직접 실행하지 않음</t>
        </is>
      </c>
    </row>
    <row r="2">
      <c r="A2" s="2" t="inlineStr">
        <is>
          <t>노트북이 불러 쓰는 코드. lab_config 만 예외적으로 수정</t>
        </is>
      </c>
    </row>
    <row r="4">
      <c r="A4" s="3" t="inlineStr">
        <is>
          <t>파일</t>
        </is>
      </c>
      <c r="B4" s="3" t="inlineStr">
        <is>
          <t>역할</t>
        </is>
      </c>
      <c r="C4" s="3" t="inlineStr">
        <is>
          <t>직접 여는가</t>
        </is>
      </c>
    </row>
    <row r="5">
      <c r="A5" s="27" t="inlineStr">
        <is>
          <t>lab_config.py</t>
        </is>
      </c>
      <c r="B5" s="28" t="inlineStr">
        <is>
          <t>설정 단일 지점 — 접속 정보 · 테이블 · 컬럼 매핑 · 실행 모드</t>
        </is>
      </c>
      <c r="C5" s="29" t="inlineStr">
        <is>
          <t>★ 수정함</t>
        </is>
      </c>
    </row>
    <row r="6">
      <c r="A6" s="4" t="inlineStr">
        <is>
          <t>lab_io.py</t>
        </is>
      </c>
      <c r="B6" s="5" t="inlineStr">
        <is>
          <t>Oracle 읽기 / 샘플 제공 / 결과 저장</t>
        </is>
      </c>
      <c r="C6" s="14" t="inlineStr">
        <is>
          <t>안 열어도 됨</t>
        </is>
      </c>
    </row>
    <row r="7">
      <c r="A7" s="4" t="inlineStr">
        <is>
          <t>lab_text.py</t>
        </is>
      </c>
      <c r="B7" s="5" t="inlineStr">
        <is>
          <t>소스별 정제 · 토큰 수 · 품질 지표 · 근사 중복</t>
        </is>
      </c>
      <c r="C7" s="14" t="inlineStr">
        <is>
          <t>안 열어도 됨</t>
        </is>
      </c>
    </row>
    <row r="8">
      <c r="A8" s="4" t="inlineStr">
        <is>
          <t>lab_search.py</t>
        </is>
      </c>
      <c r="B8" s="5" t="inlineStr">
        <is>
          <t>BM25 · 임베딩 · 리랭커 · Milvus · RRF · MMR · LLM 답변</t>
        </is>
      </c>
      <c r="C8" s="14" t="inlineStr">
        <is>
          <t>안 열어도 됨</t>
        </is>
      </c>
    </row>
    <row r="9">
      <c r="A9" s="4" t="inlineStr">
        <is>
          <t>lab_pipeline.py</t>
        </is>
      </c>
      <c r="B9" s="5" t="inlineStr">
        <is>
          <t>적재 무결성 점검 기준(CRITERIA) · 소스별 필수 메타</t>
        </is>
      </c>
      <c r="C9" s="14" t="inlineStr">
        <is>
          <t>기준 조정 시</t>
        </is>
      </c>
    </row>
    <row r="10">
      <c r="A10" s="4" t="inlineStr">
        <is>
          <t>lab_eval.py</t>
        </is>
      </c>
      <c r="B10" s="5" t="inlineStr">
        <is>
          <t>검색 지표 계산 — Hit · Recall · MRR · nDCG</t>
        </is>
      </c>
      <c r="C10" s="14" t="inlineStr">
        <is>
          <t>안 열어도 됨</t>
        </is>
      </c>
    </row>
    <row r="11">
      <c r="A11" s="4" t="inlineStr">
        <is>
          <t>lab_ragas.py</t>
        </is>
      </c>
      <c r="B11" s="5" t="inlineStr">
        <is>
          <t>표준 지표 16종 정의 · 계산 · LLM 채점 프롬프트</t>
        </is>
      </c>
      <c r="C11" s="14" t="inlineStr">
        <is>
          <t>기준 조정 시</t>
        </is>
      </c>
    </row>
    <row r="12">
      <c r="A12" s="4" t="inlineStr">
        <is>
          <t>lab_autoeval.py</t>
        </is>
      </c>
      <c r="B12" s="5" t="inlineStr">
        <is>
          <t>라벨 없는 평가셋 생성 · 근거 문서 연결</t>
        </is>
      </c>
      <c r="C12" s="14" t="inlineStr">
        <is>
          <t>안 열어도 됨</t>
        </is>
      </c>
    </row>
    <row r="13">
      <c r="A13" s="4" t="inlineStr">
        <is>
          <t>lab_golden_llm.py</t>
        </is>
      </c>
      <c r="B13" s="5" t="inlineStr">
        <is>
          <t>LLM 골든셋 생성 · 자가검증 · 유형 배분</t>
        </is>
      </c>
      <c r="C13" s="14" t="inlineStr">
        <is>
          <t>프롬프트 조정 시</t>
        </is>
      </c>
    </row>
    <row r="14">
      <c r="A14" s="4" t="inlineStr">
        <is>
          <t>lab_graph.py</t>
        </is>
      </c>
      <c r="B14" s="5" t="inlineStr">
        <is>
          <t>LangGraph 노드 · 프리셋 v0~v6 · 비교</t>
        </is>
      </c>
      <c r="C14" s="14" t="inlineStr">
        <is>
          <t>프리셋 추가 시</t>
        </is>
      </c>
    </row>
    <row r="15">
      <c r="A15" s="4" t="inlineStr">
        <is>
          <t>lab_sql.py</t>
        </is>
      </c>
      <c r="B15" s="5" t="inlineStr">
        <is>
          <t>정형 연계 — 라우팅 · SQL 생성 · 정적 검증 · 실행</t>
        </is>
      </c>
      <c r="C15" s="14" t="inlineStr">
        <is>
          <t>허용목록 조정 시</t>
        </is>
      </c>
    </row>
    <row r="16">
      <c r="A16" s="4" t="inlineStr">
        <is>
          <t>lab_sample.py</t>
        </is>
      </c>
      <c r="B16" s="5" t="inlineStr">
        <is>
          <t>샘플 데이터 16건 (sample 모드 기본)</t>
        </is>
      </c>
      <c r="C16" s="14" t="inlineStr">
        <is>
          <t>안 열어도 됨</t>
        </is>
      </c>
    </row>
    <row r="17">
      <c r="A17" s="4" t="inlineStr">
        <is>
          <t>lab_sample100.py</t>
        </is>
      </c>
      <c r="B17" s="5" t="inlineStr">
        <is>
          <t>확장 샘플 100건 (SAMPLE_SET=100)</t>
        </is>
      </c>
      <c r="C17" s="14" t="inlineStr">
        <is>
          <t>안 열어도 됨</t>
        </is>
      </c>
    </row>
    <row r="18">
      <c r="A18" s="27" t="inlineStr">
        <is>
          <t>lab_sources.py</t>
        </is>
      </c>
      <c r="B18" s="28" t="inlineStr">
        <is>
          <t>★ 소스 카테고리 정의 — 코드 · 이름 · 사내 DB 값 · 필수 메타 · 정제 · 청킹</t>
        </is>
      </c>
      <c r="C18" s="29" t="inlineStr">
        <is>
          <t>★ 수정함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  <col width="30" customWidth="1" min="4" max="4"/>
  </cols>
  <sheetData>
    <row r="1">
      <c r="A1" s="8" t="inlineStr">
        <is>
          <t>6. 소스 카테고리 추가 · 제거 · 이름 변경</t>
        </is>
      </c>
    </row>
    <row r="2">
      <c r="A2" s="2" t="inlineStr">
        <is>
          <t>lab_sources.py 의 SOURCES 딕셔너리 한 곳 — 한 줄이 한 카테고리</t>
        </is>
      </c>
    </row>
    <row r="4">
      <c r="A4" s="3" t="inlineStr">
        <is>
          <t>하고 싶은 것</t>
        </is>
      </c>
      <c r="B4" s="3" t="inlineStr">
        <is>
          <t>어떻게</t>
        </is>
      </c>
      <c r="C4" s="3" t="inlineStr">
        <is>
          <t>예시</t>
        </is>
      </c>
      <c r="D4" s="3" t="inlineStr">
        <is>
          <t>확인</t>
        </is>
      </c>
    </row>
    <row r="5">
      <c r="A5" s="4" t="inlineStr">
        <is>
          <t>추가</t>
        </is>
      </c>
      <c r="B5" s="5" t="inlineStr">
        <is>
          <t>SOURCES 에 항목 한 줄 추가</t>
        </is>
      </c>
      <c r="C5" s="5" t="inlineStr">
        <is>
          <t>'SNS': dict(ko='SNS', alias=['SNS', 'SNS_POST'], group='외부',
            required=['org_name'], noise=[r'^RT\s@\S+'], chunk=280)</t>
        </is>
      </c>
      <c r="D5" s="5" t="inlineStr">
        <is>
          <t>nb00 [1b] 정의 표에 나타남</t>
        </is>
      </c>
    </row>
    <row r="6">
      <c r="A6" s="4" t="inlineStr">
        <is>
          <t>제거</t>
        </is>
      </c>
      <c r="B6" s="5" t="inlineStr">
        <is>
          <t>그 항목 줄을 지움</t>
        </is>
      </c>
      <c r="C6" s="5" t="inlineStr">
        <is>
          <t>'MEETING': dict(...) 줄 삭제</t>
        </is>
      </c>
      <c r="D6" s="5" t="inlineStr">
        <is>
          <t>nb00 [1b] 에서 해당 코드가 "정의 없음"</t>
        </is>
      </c>
    </row>
    <row r="7">
      <c r="A7" s="4" t="inlineStr">
        <is>
          <t>이름 변경</t>
        </is>
      </c>
      <c r="B7" s="5" t="inlineStr">
        <is>
          <t>ko 값을 고침</t>
        </is>
      </c>
      <c r="C7" s="5" t="inlineStr">
        <is>
          <t>SOURCES['BROKER']['ko'] = '리서치'</t>
        </is>
      </c>
      <c r="D7" s="5" t="inlineStr">
        <is>
          <t>모든 표 · 도식 표기가 바뀜</t>
        </is>
      </c>
    </row>
    <row r="8">
      <c r="A8" s="4" t="inlineStr">
        <is>
          <t>사내 DB 값 대응</t>
        </is>
      </c>
      <c r="B8" s="5" t="inlineStr">
        <is>
          <t>alias 목록에 넣고 뺌</t>
        </is>
      </c>
      <c r="C8" s="5" t="inlineStr">
        <is>
          <t>SOURCES['NEWS']['alias'] = ['NEWS', '뉴스', 'NEWS_EN']</t>
        </is>
      </c>
      <c r="D8" s="5" t="inlineStr">
        <is>
          <t>nb00 [1b] 상태 = 정상</t>
        </is>
      </c>
    </row>
    <row r="9">
      <c r="A9" s="4" t="inlineStr">
        <is>
          <t>두 코드를 하나로</t>
        </is>
      </c>
      <c r="B9" s="5" t="inlineStr">
        <is>
          <t>한 카테고리의 alias 에 둘 다 적음</t>
        </is>
      </c>
      <c r="C9" s="5" t="inlineStr">
        <is>
          <t>SOURCES['EMAIL']['alias'] = ['EMAIL', 'MOM']</t>
        </is>
      </c>
      <c r="D9" s="5" t="inlineStr">
        <is>
          <t>분포표에서 합쳐져 집계</t>
        </is>
      </c>
    </row>
    <row r="10">
      <c r="A10" s="4" t="inlineStr">
        <is>
          <t>필수 메타 변경</t>
        </is>
      </c>
      <c r="B10" s="5" t="inlineStr">
        <is>
          <t>required 목록 수정 (title · published_at 은 공통이라 자동)</t>
        </is>
      </c>
      <c r="C10" s="5" t="inlineStr">
        <is>
          <t>SOURCES['NEWS']['required'] = ['org_name', 'src_url']</t>
        </is>
      </c>
      <c r="D10" s="5" t="inlineStr">
        <is>
          <t>nb00 [4] 메타 충족률</t>
        </is>
      </c>
    </row>
    <row r="11">
      <c r="A11" s="4" t="inlineStr">
        <is>
          <t>정제 규칙 추가</t>
        </is>
      </c>
      <c r="B11" s="5" t="inlineStr">
        <is>
          <t>noise 에 정규식 추가 / strip_email · strip_repeat</t>
        </is>
      </c>
      <c r="C11" s="5" t="inlineStr">
        <is>
          <t>SOURCES['NEWS']['noise'] += [r'^\[속보\]', r'^사진=.*']</t>
        </is>
      </c>
      <c r="D11" s="5" t="inlineStr">
        <is>
          <t>nb02 노이즈 잔존율</t>
        </is>
      </c>
    </row>
    <row r="12">
      <c r="A12" s="4" t="inlineStr">
        <is>
          <t>청크 기준 변경</t>
        </is>
      </c>
      <c r="B12" s="5" t="inlineStr">
        <is>
          <t>chunk = 목표 글자 수 · table = 표 분리</t>
        </is>
      </c>
      <c r="C12" s="5" t="inlineStr">
        <is>
          <t>SOURCES['NEWS']['chunk'] = 300</t>
        </is>
      </c>
      <c r="D12" s="5" t="inlineStr">
        <is>
          <t>nb02 [+] 기준 적용 시 비교</t>
        </is>
      </c>
    </row>
    <row r="13">
      <c r="A13" s="4" t="inlineStr">
        <is>
          <t>보안 등급</t>
        </is>
      </c>
      <c r="B13" s="5" t="inlineStr">
        <is>
          <t>security 0~3</t>
        </is>
      </c>
      <c r="C13" s="5" t="inlineStr">
        <is>
          <t>SOURCES['EXEC_REPORT']['security'] = 3</t>
        </is>
      </c>
      <c r="D13" s="5" t="inlineStr">
        <is>
          <t>권한 점검</t>
        </is>
      </c>
    </row>
    <row r="15">
      <c r="A15" s="30" t="inlineStr">
        <is>
          <t>원칙</t>
        </is>
      </c>
      <c r="B15" s="26" t="inlineStr">
        <is>
          <t>카테고리에 관한 모든 것이 SOURCES 한 곳에 있다. lab_config 는 접속 · 테이블 설정만 담당한다.</t>
        </is>
      </c>
      <c r="C15" s="17" t="n"/>
      <c r="D15" s="18" t="n"/>
    </row>
    <row r="16">
      <c r="A16" s="30" t="inlineStr">
        <is>
          <t>반드시 확인</t>
        </is>
      </c>
      <c r="B16" s="26" t="inlineStr">
        <is>
          <t>nb00 [1b] — 정의에 없는 코드는 필수 메타 · 정제 규칙이 적용되지 않은 채 통과한다.</t>
        </is>
      </c>
      <c r="C16" s="17" t="n"/>
      <c r="D16" s="18" t="n"/>
    </row>
    <row r="17">
      <c r="A17" s="30" t="inlineStr">
        <is>
          <t>수정 후</t>
        </is>
      </c>
      <c r="B17" s="26" t="inlineStr">
        <is>
          <t>Spyder 에서 [0] 준비 셀을 다시 실행해야 반영된다.</t>
        </is>
      </c>
      <c r="C17" s="17" t="n"/>
      <c r="D17" s="18" t="n"/>
    </row>
  </sheetData>
  <mergeCells count="5">
    <mergeCell ref="A1:D1"/>
    <mergeCell ref="B17:D17"/>
    <mergeCell ref="A2:D2"/>
    <mergeCell ref="B15:D15"/>
    <mergeCell ref="B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2026-09-25T13:00:20Z</dcterms:created>
  <dcterms:modified xmlns:dcterms="http://purl.org/dc/terms/" xmlns:xsi="http://www.w3.org/2001/XMLSchema-instance" xsi:type="dcterms:W3CDTF">2026-09-25T13:00:20Z</dcterms:modified>
</cp:coreProperties>
</file>