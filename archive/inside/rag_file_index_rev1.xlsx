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안내" sheetId="1" state="visible" r:id="rId1"/>
    <sheet xmlns:r="http://schemas.openxmlformats.org/officeDocument/2006/relationships" name="1_파일목록" sheetId="2" state="visible" r:id="rId2"/>
    <sheet xmlns:r="http://schemas.openxmlformats.org/officeDocument/2006/relationships" name="2_함수목록" sheetId="3" state="visible" r:id="rId3"/>
    <sheet xmlns:r="http://schemas.openxmlformats.org/officeDocument/2006/relationships" name="3_노트북_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85463"/>
      <sz val="14"/>
    </font>
    <font>
      <name val="맑은 고딕"/>
      <color rgb="006B6B6B"/>
      <sz val="9"/>
    </font>
    <font>
      <name val="맑은 고딕"/>
      <b val="1"/>
      <sz val="10"/>
    </font>
    <font>
      <name val="맑은 고딕"/>
      <sz val="10"/>
    </font>
    <font>
      <name val="맑은 고딕"/>
      <b val="1"/>
      <color rgb="00185463"/>
      <sz val="13"/>
    </font>
    <font>
      <name val="맑은 고딕"/>
      <b val="1"/>
      <color rgb="00185463"/>
      <sz val="10"/>
    </font>
  </fonts>
  <fills count="10">
    <fill>
      <patternFill/>
    </fill>
    <fill>
      <patternFill patternType="gray125"/>
    </fill>
    <fill>
      <patternFill patternType="solid">
        <fgColor rgb="00E7EDEE"/>
        <bgColor rgb="00E7EDEE"/>
      </patternFill>
    </fill>
    <fill>
      <patternFill patternType="solid">
        <fgColor rgb="00FFFDE7"/>
        <bgColor rgb="00FFFDE7"/>
      </patternFill>
    </fill>
    <fill>
      <patternFill patternType="solid">
        <fgColor rgb="00F5EAD0"/>
        <bgColor rgb="00F5EAD0"/>
      </patternFill>
    </fill>
    <fill>
      <patternFill patternType="solid">
        <fgColor rgb="00F2F7F7"/>
        <bgColor rgb="00F2F7F7"/>
      </patternFill>
    </fill>
    <fill>
      <patternFill patternType="solid">
        <fgColor rgb="00EEF4F5"/>
        <bgColor rgb="00EEF4F5"/>
      </patternFill>
    </fill>
    <fill>
      <patternFill patternType="solid">
        <fgColor rgb="00F5F5F5"/>
        <bgColor rgb="00F5F5F5"/>
      </patternFill>
    </fill>
    <fill>
      <patternFill patternType="solid">
        <fgColor rgb="00DAEAED"/>
        <bgColor rgb="00DAEAED"/>
      </patternFill>
    </fill>
    <fill>
      <patternFill patternType="solid">
        <fgColor rgb="00E2F0D9"/>
        <bgColor rgb="00E2F0D9"/>
      </patternFill>
    </fill>
  </fills>
  <borders count="2">
    <border>
      <left/>
      <right/>
      <top/>
      <bottom/>
      <diagonal/>
    </border>
    <border>
      <left style="thin">
        <color rgb="00BFCACB"/>
      </left>
      <right style="thin">
        <color rgb="00BFCACB"/>
      </right>
      <top style="thin">
        <color rgb="00BFCACB"/>
      </top>
      <bottom style="thin">
        <color rgb="00BFCACB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6" fillId="0" borderId="0" pivotButton="0" quotePrefix="0" xfId="0"/>
    <xf numFmtId="0" fontId="3" fillId="0" borderId="1" pivotButton="0" quotePrefix="0" xfId="0"/>
    <xf numFmtId="0" fontId="4" fillId="6" borderId="1" pivotButton="0" quotePrefix="0" xfId="0"/>
    <xf numFmtId="9" fontId="4" fillId="6" borderId="1" pivotButton="0" quotePrefix="0" xfId="0"/>
    <xf numFmtId="0" fontId="4" fillId="7" borderId="1" applyAlignment="1" pivotButton="0" quotePrefix="0" xfId="0">
      <alignment vertical="top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vertical="top" wrapText="1"/>
    </xf>
    <xf numFmtId="0" fontId="4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E2F0D9"/>
          <bgColor rgb="00E2F0D9"/>
        </patternFill>
      </fill>
    </dxf>
    <dxf>
      <fill>
        <patternFill patternType="solid">
          <fgColor rgb="00F5EAD0"/>
          <bgColor rgb="00F5EA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104" customWidth="1" min="2" max="2"/>
  </cols>
  <sheetData>
    <row r="1">
      <c r="A1" s="1" t="inlineStr">
        <is>
          <t>파일 · 함수 목록 rev.1 — 하나씩 보며 확인 체크</t>
        </is>
      </c>
    </row>
    <row r="2">
      <c r="A2" s="2" t="inlineStr">
        <is>
          <t>2026-09-25 · 코드를 직접 파싱해 생성 (archive/src/make_file_index.py) · 연노랑 = 기입</t>
        </is>
      </c>
    </row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쓰는 법</t>
        </is>
      </c>
      <c r="B5" s="5" t="inlineStr">
        <is>
          <t>1_파일목록 → 2_함수목록 → 3_노트북_셀 순서로 훑으며 "확인" 열 기입</t>
        </is>
      </c>
    </row>
    <row r="6">
      <c r="A6" s="4" t="inlineStr">
        <is>
          <t>확인 열</t>
        </is>
      </c>
      <c r="B6" s="5" t="inlineStr">
        <is>
          <t>확인 / 보류 / 질문 있음 — 질문 있음은 노랑으로 표시됨</t>
        </is>
      </c>
    </row>
    <row r="7">
      <c r="A7" s="4" t="inlineStr">
        <is>
          <t>구분</t>
        </is>
      </c>
      <c r="B7" s="5" t="inlineStr">
        <is>
          <t>설정 = 사내에서 고치는 것 · 공통 = 노트북이 불러 쓰는 코드 · 샘플 = 연습용 가짜 데이터</t>
        </is>
      </c>
    </row>
    <row r="8">
      <c r="A8" s="4" t="inlineStr">
        <is>
          <t>핵심 표시</t>
        </is>
      </c>
      <c r="B8" s="5" t="inlineStr">
        <is>
          <t>노트북 구분의 핵심 6개(nb00 · nb02 · nb06 · nb10 · nb12 · nb13)는 초록</t>
        </is>
      </c>
    </row>
    <row r="9">
      <c r="A9" s="4" t="inlineStr">
        <is>
          <t>다시 만들기</t>
        </is>
      </c>
      <c r="B9" s="5" t="inlineStr">
        <is>
          <t>코드가 바뀌면 archive/src/make_file_index.py 를 다시 실행</t>
        </is>
      </c>
    </row>
    <row r="10">
      <c r="A10" s="4" t="inlineStr">
        <is>
          <t>주의</t>
        </is>
      </c>
      <c r="B10" s="5" t="inlineStr">
        <is>
          <t>함수 설명은 코드의 첫 줄 주석(docstring)을 그대로 가져온 것 — 설명이 빈 칸이면 주석이 없는 함수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62" customWidth="1" min="3" max="3"/>
    <col width="9" customWidth="1" min="4" max="4"/>
    <col width="9" customWidth="1" min="5" max="5"/>
    <col width="30" customWidth="1" min="6" max="6"/>
  </cols>
  <sheetData>
    <row r="1">
      <c r="A1" s="6" t="inlineStr">
        <is>
          <t>1. 파일 목록</t>
        </is>
      </c>
    </row>
    <row r="2">
      <c r="A2" s="2" t="inlineStr">
        <is>
          <t>전체 92 개 · E · F 열 기입</t>
        </is>
      </c>
    </row>
    <row r="4">
      <c r="A4" s="3" t="inlineStr">
        <is>
          <t>경로</t>
        </is>
      </c>
      <c r="B4" s="3" t="inlineStr">
        <is>
          <t>구분</t>
        </is>
      </c>
      <c r="C4" s="3" t="inlineStr">
        <is>
          <t>역할</t>
        </is>
      </c>
      <c r="D4" s="3" t="inlineStr">
        <is>
          <t>크기</t>
        </is>
      </c>
      <c r="E4" s="3" t="inlineStr">
        <is>
          <t>확인</t>
        </is>
      </c>
      <c r="F4" s="3" t="inlineStr">
        <is>
          <t>메모</t>
        </is>
      </c>
    </row>
    <row r="5">
      <c r="A5" s="7" t="inlineStr">
        <is>
          <t>.env.example</t>
        </is>
      </c>
      <c r="B5" s="8" t="inlineStr">
        <is>
          <t>설정</t>
        </is>
      </c>
      <c r="C5" s="9" t="inlineStr">
        <is>
          <t>접속 정보 양식 — 복사해서 .env 로 쓴다</t>
        </is>
      </c>
      <c r="D5" s="10" t="inlineStr">
        <is>
          <t>3.6 KB</t>
        </is>
      </c>
      <c r="E5" s="11" t="inlineStr"/>
      <c r="F5" s="12" t="inlineStr"/>
    </row>
    <row r="6">
      <c r="A6" s="7" t="inlineStr">
        <is>
          <t>.gitignore</t>
        </is>
      </c>
      <c r="B6" s="8" t="inlineStr">
        <is>
          <t>설정</t>
        </is>
      </c>
      <c r="C6" s="9" t="inlineStr">
        <is>
          <t>.env · out · __pycache__ 제외</t>
        </is>
      </c>
      <c r="D6" s="10" t="inlineStr">
        <is>
          <t>0.1 KB</t>
        </is>
      </c>
      <c r="E6" s="11" t="inlineStr"/>
      <c r="F6" s="12" t="inlineStr"/>
    </row>
    <row r="7">
      <c r="A7" s="4" t="inlineStr">
        <is>
          <t>README.md</t>
        </is>
      </c>
      <c r="B7" s="10" t="inlineStr">
        <is>
          <t>문서</t>
        </is>
      </c>
      <c r="C7" s="5" t="inlineStr">
        <is>
          <t>개요 · 실행 방법 요약</t>
        </is>
      </c>
      <c r="D7" s="10" t="inlineStr">
        <is>
          <t>2.7 KB</t>
        </is>
      </c>
      <c r="E7" s="11" t="inlineStr"/>
      <c r="F7" s="12" t="inlineStr"/>
    </row>
    <row r="8">
      <c r="A8" s="4" t="inlineStr">
        <is>
          <t>USAGE.md</t>
        </is>
      </c>
      <c r="B8" s="10" t="inlineStr">
        <is>
          <t>문서</t>
        </is>
      </c>
      <c r="C8" s="5" t="inlineStr">
        <is>
          <t>상세 사용법 · 카테고리 수정법 · Windows FAQ</t>
        </is>
      </c>
      <c r="D8" s="10" t="inlineStr">
        <is>
          <t>27.4 KB</t>
        </is>
      </c>
      <c r="E8" s="11" t="inlineStr"/>
      <c r="F8" s="12" t="inlineStr"/>
    </row>
    <row r="9">
      <c r="A9" s="4" t="inlineStr">
        <is>
          <t>lab_autoeval.py</t>
        </is>
      </c>
      <c r="B9" s="10" t="inlineStr">
        <is>
          <t>공통</t>
        </is>
      </c>
      <c r="C9" s="5" t="inlineStr">
        <is>
          <t>라벨 없는 평가셋 생성 · 근거 문서 연결</t>
        </is>
      </c>
      <c r="D9" s="10" t="inlineStr">
        <is>
          <t>15.0 KB</t>
        </is>
      </c>
      <c r="E9" s="11" t="inlineStr"/>
      <c r="F9" s="12" t="inlineStr"/>
    </row>
    <row r="10">
      <c r="A10" s="7" t="inlineStr">
        <is>
          <t>lab_config.py</t>
        </is>
      </c>
      <c r="B10" s="8" t="inlineStr">
        <is>
          <t>설정</t>
        </is>
      </c>
      <c r="C10" s="9" t="inlineStr">
        <is>
          <t>접속 정보 · 테이블 · 컬럼 매핑 · 실행 모드. 사내에서 [사내 맞춤] 블록 수정</t>
        </is>
      </c>
      <c r="D10" s="10" t="inlineStr">
        <is>
          <t>9.2 KB</t>
        </is>
      </c>
      <c r="E10" s="11" t="inlineStr"/>
      <c r="F10" s="12" t="inlineStr"/>
    </row>
    <row r="11">
      <c r="A11" s="4" t="inlineStr">
        <is>
          <t>lab_eval.py</t>
        </is>
      </c>
      <c r="B11" s="10" t="inlineStr">
        <is>
          <t>공통</t>
        </is>
      </c>
      <c r="C11" s="5" t="inlineStr">
        <is>
          <t>검색 지표 — 적중 판정 · Hit · Recall · MRR · nDCG</t>
        </is>
      </c>
      <c r="D11" s="10" t="inlineStr">
        <is>
          <t>4.7 KB</t>
        </is>
      </c>
      <c r="E11" s="11" t="inlineStr"/>
      <c r="F11" s="12" t="inlineStr"/>
    </row>
    <row r="12">
      <c r="A12" s="4" t="inlineStr">
        <is>
          <t>lab_golden_llm.py</t>
        </is>
      </c>
      <c r="B12" s="10" t="inlineStr">
        <is>
          <t>공통</t>
        </is>
      </c>
      <c r="C12" s="5" t="inlineStr">
        <is>
          <t>LLM 골든셋 생성 · 자가검증 · 유형 배분 · 검수 시트</t>
        </is>
      </c>
      <c r="D12" s="10" t="inlineStr">
        <is>
          <t>11.2 KB</t>
        </is>
      </c>
      <c r="E12" s="11" t="inlineStr"/>
      <c r="F12" s="12" t="inlineStr"/>
    </row>
    <row r="13">
      <c r="A13" s="4" t="inlineStr">
        <is>
          <t>lab_graph.py</t>
        </is>
      </c>
      <c r="B13" s="10" t="inlineStr">
        <is>
          <t>공통</t>
        </is>
      </c>
      <c r="C13" s="5" t="inlineStr">
        <is>
          <t>LangGraph RAG 그래프 · 프리셋 v0~v6 · 비교</t>
        </is>
      </c>
      <c r="D13" s="10" t="inlineStr">
        <is>
          <t>14.3 KB</t>
        </is>
      </c>
      <c r="E13" s="11" t="inlineStr"/>
      <c r="F13" s="12" t="inlineStr"/>
    </row>
    <row r="14">
      <c r="A14" s="4" t="inlineStr">
        <is>
          <t>lab_io.py</t>
        </is>
      </c>
      <c r="B14" s="10" t="inlineStr">
        <is>
          <t>공통</t>
        </is>
      </c>
      <c r="C14" s="5" t="inlineStr">
        <is>
          <t>Oracle 읽기 / 샘플 제공 / 결과 저장 — 표준 컬럼 DataFrame 반환</t>
        </is>
      </c>
      <c r="D14" s="10" t="inlineStr">
        <is>
          <t>7.1 KB</t>
        </is>
      </c>
      <c r="E14" s="11" t="inlineStr"/>
      <c r="F14" s="12" t="inlineStr"/>
    </row>
    <row r="15">
      <c r="A15" s="4" t="inlineStr">
        <is>
          <t>lab_pipeline.py</t>
        </is>
      </c>
      <c r="B15" s="10" t="inlineStr">
        <is>
          <t>공통</t>
        </is>
      </c>
      <c r="C15" s="5" t="inlineStr">
        <is>
          <t>적재 무결성 점검 — 기준(CRITERIA) · 문서/메타/청크/인덱스 점검</t>
        </is>
      </c>
      <c r="D15" s="10" t="inlineStr">
        <is>
          <t>12.0 KB</t>
        </is>
      </c>
      <c r="E15" s="11" t="inlineStr"/>
      <c r="F15" s="12" t="inlineStr"/>
    </row>
    <row r="16">
      <c r="A16" s="4" t="inlineStr">
        <is>
          <t>lab_ragas.py</t>
        </is>
      </c>
      <c r="B16" s="10" t="inlineStr">
        <is>
          <t>공통</t>
        </is>
      </c>
      <c r="C16" s="5" t="inlineStr">
        <is>
          <t>표준 지표 16종 — 생성(RAGAS 계열) 계산 · LLM 채점 프롬프트</t>
        </is>
      </c>
      <c r="D16" s="10" t="inlineStr">
        <is>
          <t>9.7 KB</t>
        </is>
      </c>
      <c r="E16" s="11" t="inlineStr"/>
      <c r="F16" s="12" t="inlineStr"/>
    </row>
    <row r="17">
      <c r="A17" s="4" t="inlineStr">
        <is>
          <t>lab_sample.py</t>
        </is>
      </c>
      <c r="B17" s="10" t="inlineStr">
        <is>
          <t>샘플</t>
        </is>
      </c>
      <c r="C17" s="5" t="inlineStr">
        <is>
          <t>샘플 문서 16건 + 청크 + 골든셋 11 (코드가 만들어 냄 · DB 아님)</t>
        </is>
      </c>
      <c r="D17" s="10" t="inlineStr">
        <is>
          <t>8.7 KB</t>
        </is>
      </c>
      <c r="E17" s="11" t="inlineStr"/>
      <c r="F17" s="12" t="inlineStr"/>
    </row>
    <row r="18">
      <c r="A18" s="4" t="inlineStr">
        <is>
          <t>lab_sample100.py</t>
        </is>
      </c>
      <c r="B18" s="10" t="inlineStr">
        <is>
          <t>샘플</t>
        </is>
      </c>
      <c r="C18" s="5" t="inlineStr">
        <is>
          <t>샘플 문서 100건 + 청크 182 + 골든셋 30 (SAMPLE_SET=100)</t>
        </is>
      </c>
      <c r="D18" s="10" t="inlineStr">
        <is>
          <t>19.9 KB</t>
        </is>
      </c>
      <c r="E18" s="11" t="inlineStr"/>
      <c r="F18" s="12" t="inlineStr"/>
    </row>
    <row r="19">
      <c r="A19" s="4" t="inlineStr">
        <is>
          <t>lab_sample_sql.py</t>
        </is>
      </c>
      <c r="B19" s="10" t="inlineStr">
        <is>
          <t>샘플</t>
        </is>
      </c>
      <c r="C19" s="5" t="inlineStr">
        <is>
          <t>샘플 정형 DB(SQLite) + SQL 골든셋 7</t>
        </is>
      </c>
      <c r="D19" s="10" t="inlineStr">
        <is>
          <t>3.4 KB</t>
        </is>
      </c>
      <c r="E19" s="11" t="inlineStr"/>
      <c r="F19" s="12" t="inlineStr"/>
    </row>
    <row r="20">
      <c r="A20" s="4" t="inlineStr">
        <is>
          <t>lab_search.py</t>
        </is>
      </c>
      <c r="B20" s="10" t="inlineStr">
        <is>
          <t>공통</t>
        </is>
      </c>
      <c r="C20" s="5" t="inlineStr">
        <is>
          <t>BM25 · 임베딩 · 리랭커 · Milvus · RRF · MMR · LLM 답변</t>
        </is>
      </c>
      <c r="D20" s="10" t="inlineStr">
        <is>
          <t>28.7 KB</t>
        </is>
      </c>
      <c r="E20" s="11" t="inlineStr"/>
      <c r="F20" s="12" t="inlineStr"/>
    </row>
    <row r="21">
      <c r="A21" s="7" t="inlineStr">
        <is>
          <t>lab_sources.py</t>
        </is>
      </c>
      <c r="B21" s="8" t="inlineStr">
        <is>
          <t>설정</t>
        </is>
      </c>
      <c r="C21" s="9" t="inlineStr">
        <is>
          <t>소스 카테고리 정의 — 코드 · 이름 · 사내 DB값(alias) · 필수 메타 · 정제 · 청킹</t>
        </is>
      </c>
      <c r="D21" s="10" t="inlineStr">
        <is>
          <t>6.8 KB</t>
        </is>
      </c>
      <c r="E21" s="11" t="inlineStr"/>
      <c r="F21" s="12" t="inlineStr"/>
    </row>
    <row r="22">
      <c r="A22" s="4" t="inlineStr">
        <is>
          <t>lab_sql.py</t>
        </is>
      </c>
      <c r="B22" s="10" t="inlineStr">
        <is>
          <t>공통</t>
        </is>
      </c>
      <c r="C22" s="5" t="inlineStr">
        <is>
          <t>정형 연계 — 라우팅 · SQL 생성 · 정적 검증 · 실행</t>
        </is>
      </c>
      <c r="D22" s="10" t="inlineStr">
        <is>
          <t>14.5 KB</t>
        </is>
      </c>
      <c r="E22" s="11" t="inlineStr"/>
      <c r="F22" s="12" t="inlineStr"/>
    </row>
    <row r="23">
      <c r="A23" s="4" t="inlineStr">
        <is>
          <t>lab_text.py</t>
        </is>
      </c>
      <c r="B23" s="10" t="inlineStr">
        <is>
          <t>공통</t>
        </is>
      </c>
      <c r="C23" s="5" t="inlineStr">
        <is>
          <t>정제 · 토큰 수 · 품질 지표 · 근사 중복 · 유형별 청킹</t>
        </is>
      </c>
      <c r="D23" s="10" t="inlineStr">
        <is>
          <t>7.5 KB</t>
        </is>
      </c>
      <c r="E23" s="11" t="inlineStr"/>
      <c r="F23" s="12" t="inlineStr"/>
    </row>
    <row r="24">
      <c r="A24" s="13" t="inlineStr">
        <is>
          <t>nb00_pipeline_check.py</t>
        </is>
      </c>
      <c r="B24" s="14" t="inlineStr">
        <is>
          <t>핵심</t>
        </is>
      </c>
      <c r="C24" s="15" t="inlineStr">
        <is>
          <t>적재 검증 — 평가 이전 관문 — 실행 대상</t>
        </is>
      </c>
      <c r="D24" s="10" t="inlineStr">
        <is>
          <t>3.8 KB</t>
        </is>
      </c>
      <c r="E24" s="11" t="inlineStr"/>
      <c r="F24" s="12" t="inlineStr"/>
    </row>
    <row r="25">
      <c r="A25" s="13" t="inlineStr">
        <is>
          <t>nb01_inventory.py</t>
        </is>
      </c>
      <c r="B25" s="14" t="inlineStr">
        <is>
          <t>선택</t>
        </is>
      </c>
      <c r="C25" s="15" t="inlineStr">
        <is>
          <t>적재 현황 조사 — 실행 대상</t>
        </is>
      </c>
      <c r="D25" s="10" t="inlineStr">
        <is>
          <t>4.9 KB</t>
        </is>
      </c>
      <c r="E25" s="11" t="inlineStr"/>
      <c r="F25" s="12" t="inlineStr"/>
    </row>
    <row r="26">
      <c r="A26" s="13" t="inlineStr">
        <is>
          <t>nb02_parse_chunk.py</t>
        </is>
      </c>
      <c r="B26" s="14" t="inlineStr">
        <is>
          <t>핵심</t>
        </is>
      </c>
      <c r="C26" s="15" t="inlineStr">
        <is>
          <t>파싱 · 청킹 품질 — 실행 대상</t>
        </is>
      </c>
      <c r="D26" s="10" t="inlineStr">
        <is>
          <t>5.9 KB</t>
        </is>
      </c>
      <c r="E26" s="11" t="inlineStr"/>
      <c r="F26" s="12" t="inlineStr"/>
    </row>
    <row r="27">
      <c r="A27" s="13" t="inlineStr">
        <is>
          <t>nb03_bm25_tokenizer.py</t>
        </is>
      </c>
      <c r="B27" s="14" t="inlineStr">
        <is>
          <t>선택</t>
        </is>
      </c>
      <c r="C27" s="15" t="inlineStr">
        <is>
          <t>BM25 토크나이저 비교 — 실행 대상</t>
        </is>
      </c>
      <c r="D27" s="10" t="inlineStr">
        <is>
          <t>3.9 KB</t>
        </is>
      </c>
      <c r="E27" s="11" t="inlineStr"/>
      <c r="F27" s="12" t="inlineStr"/>
    </row>
    <row r="28">
      <c r="A28" s="13" t="inlineStr">
        <is>
          <t>nb04_milvus.py</t>
        </is>
      </c>
      <c r="B28" s="14" t="inlineStr">
        <is>
          <t>선택</t>
        </is>
      </c>
      <c r="C28" s="15" t="inlineStr">
        <is>
          <t>Milvus 인덱스 · 건수 정합 — 실행 대상</t>
        </is>
      </c>
      <c r="D28" s="10" t="inlineStr">
        <is>
          <t>4.4 KB</t>
        </is>
      </c>
      <c r="E28" s="11" t="inlineStr"/>
      <c r="F28" s="12" t="inlineStr"/>
    </row>
    <row r="29">
      <c r="A29" s="13" t="inlineStr">
        <is>
          <t>nb05_smoke_test.py</t>
        </is>
      </c>
      <c r="B29" s="14" t="inlineStr">
        <is>
          <t>선택</t>
        </is>
      </c>
      <c r="C29" s="15" t="inlineStr">
        <is>
          <t>스모크 20문항 — 실행 대상</t>
        </is>
      </c>
      <c r="D29" s="10" t="inlineStr">
        <is>
          <t>3.3 KB</t>
        </is>
      </c>
      <c r="E29" s="11" t="inlineStr"/>
      <c r="F29" s="12" t="inlineStr"/>
    </row>
    <row r="30">
      <c r="A30" s="13" t="inlineStr">
        <is>
          <t>nb06_retrieval_eval.py</t>
        </is>
      </c>
      <c r="B30" s="14" t="inlineStr">
        <is>
          <t>핵심</t>
        </is>
      </c>
      <c r="C30" s="15" t="inlineStr">
        <is>
          <t>검색 지표 측정 — 실행 대상</t>
        </is>
      </c>
      <c r="D30" s="10" t="inlineStr">
        <is>
          <t>4.1 KB</t>
        </is>
      </c>
      <c r="E30" s="11" t="inlineStr"/>
      <c r="F30" s="12" t="inlineStr"/>
    </row>
    <row r="31">
      <c r="A31" s="13" t="inlineStr">
        <is>
          <t>nb07_sql_router.py</t>
        </is>
      </c>
      <c r="B31" s="14" t="inlineStr">
        <is>
          <t>선택</t>
        </is>
      </c>
      <c r="C31" s="15" t="inlineStr">
        <is>
          <t>정형 연계 — 실행 대상</t>
        </is>
      </c>
      <c r="D31" s="10" t="inlineStr">
        <is>
          <t>6.6 KB</t>
        </is>
      </c>
      <c r="E31" s="11" t="inlineStr"/>
      <c r="F31" s="12" t="inlineStr"/>
    </row>
    <row r="32">
      <c r="A32" s="13" t="inlineStr">
        <is>
          <t>nb08_auto_eval.py</t>
        </is>
      </c>
      <c r="B32" s="14" t="inlineStr">
        <is>
          <t>선택</t>
        </is>
      </c>
      <c r="C32" s="15" t="inlineStr">
        <is>
          <t>라벨 없는 자동 평가 — 실행 대상</t>
        </is>
      </c>
      <c r="D32" s="10" t="inlineStr">
        <is>
          <t>5.9 KB</t>
        </is>
      </c>
      <c r="E32" s="11" t="inlineStr"/>
      <c r="F32" s="12" t="inlineStr"/>
    </row>
    <row r="33">
      <c r="A33" s="13" t="inlineStr">
        <is>
          <t>nb09_golden_build.py</t>
        </is>
      </c>
      <c r="B33" s="14" t="inlineStr">
        <is>
          <t>참고</t>
        </is>
      </c>
      <c r="C33" s="15" t="inlineStr">
        <is>
          <t>골든셋 구성 → 평가 연결 — 실행 대상</t>
        </is>
      </c>
      <c r="D33" s="10" t="inlineStr">
        <is>
          <t>3.6 KB</t>
        </is>
      </c>
      <c r="E33" s="11" t="inlineStr"/>
      <c r="F33" s="12" t="inlineStr"/>
    </row>
    <row r="34">
      <c r="A34" s="13" t="inlineStr">
        <is>
          <t>nb10_answer_eval.py</t>
        </is>
      </c>
      <c r="B34" s="14" t="inlineStr">
        <is>
          <t>핵심</t>
        </is>
      </c>
      <c r="C34" s="15" t="inlineStr">
        <is>
          <t>답변 품질 측정 — 실행 대상</t>
        </is>
      </c>
      <c r="D34" s="10" t="inlineStr">
        <is>
          <t>5.4 KB</t>
        </is>
      </c>
      <c r="E34" s="11" t="inlineStr"/>
      <c r="F34" s="12" t="inlineStr"/>
    </row>
    <row r="35">
      <c r="A35" s="13" t="inlineStr">
        <is>
          <t>nb11_evidence_link.py</t>
        </is>
      </c>
      <c r="B35" s="14" t="inlineStr">
        <is>
          <t>선택</t>
        </is>
      </c>
      <c r="C35" s="15" t="inlineStr">
        <is>
          <t>질문 ↔ 근거 연결 — 실행 대상</t>
        </is>
      </c>
      <c r="D35" s="10" t="inlineStr">
        <is>
          <t>3.9 KB</t>
        </is>
      </c>
      <c r="E35" s="11" t="inlineStr"/>
      <c r="F35" s="12" t="inlineStr"/>
    </row>
    <row r="36">
      <c r="A36" s="13" t="inlineStr">
        <is>
          <t>nb12_golden_llm.py</t>
        </is>
      </c>
      <c r="B36" s="14" t="inlineStr">
        <is>
          <t>핵심</t>
        </is>
      </c>
      <c r="C36" s="15" t="inlineStr">
        <is>
          <t>LLM 골든셋 생성 — 실행 대상</t>
        </is>
      </c>
      <c r="D36" s="10" t="inlineStr">
        <is>
          <t>3.8 KB</t>
        </is>
      </c>
      <c r="E36" s="11" t="inlineStr"/>
      <c r="F36" s="12" t="inlineStr"/>
    </row>
    <row r="37">
      <c r="A37" s="13" t="inlineStr">
        <is>
          <t>nb13_langgraph_rag.py</t>
        </is>
      </c>
      <c r="B37" s="14" t="inlineStr">
        <is>
          <t>핵심</t>
        </is>
      </c>
      <c r="C37" s="15" t="inlineStr">
        <is>
          <t>프리셋 비교 · 개선 정량화 — 실행 대상</t>
        </is>
      </c>
      <c r="D37" s="10" t="inlineStr">
        <is>
          <t>4.3 KB</t>
        </is>
      </c>
      <c r="E37" s="11" t="inlineStr"/>
      <c r="F37" s="12" t="inlineStr"/>
    </row>
    <row r="38">
      <c r="A38" s="7" t="inlineStr">
        <is>
          <t>requirements.txt</t>
        </is>
      </c>
      <c r="B38" s="8" t="inlineStr">
        <is>
          <t>설정</t>
        </is>
      </c>
      <c r="C38" s="9" t="inlineStr">
        <is>
          <t>필수 pandas · numpy · openpyxl / 나머지는 선택</t>
        </is>
      </c>
      <c r="D38" s="10" t="inlineStr">
        <is>
          <t>0.6 KB</t>
        </is>
      </c>
      <c r="E38" s="11" t="inlineStr"/>
      <c r="F38" s="12" t="inlineStr"/>
    </row>
    <row r="39">
      <c r="A39" s="4" t="inlineStr">
        <is>
          <t>archive/README.md</t>
        </is>
      </c>
      <c r="B39" s="10" t="inlineStr">
        <is>
          <t>문서</t>
        </is>
      </c>
      <c r="C39" s="5" t="inlineStr">
        <is>
          <t>개요 · 실행 방법 요약</t>
        </is>
      </c>
      <c r="D39" s="10" t="inlineStr">
        <is>
          <t>1.6 KB</t>
        </is>
      </c>
      <c r="E39" s="11" t="inlineStr"/>
      <c r="F39" s="12" t="inlineStr"/>
    </row>
    <row r="40">
      <c r="A40" s="4" t="inlineStr">
        <is>
          <t>archive/golden_set_example_rev2.xlsx</t>
        </is>
      </c>
      <c r="B40" s="10" t="inlineStr">
        <is>
          <t>보관</t>
        </is>
      </c>
      <c r="C40" s="5" t="inlineStr">
        <is>
          <t>기입용 엑셀 · 참고 문서 · 생성 스크립트</t>
        </is>
      </c>
      <c r="D40" s="10" t="inlineStr">
        <is>
          <t>24.1 KB</t>
        </is>
      </c>
      <c r="E40" s="11" t="inlineStr"/>
      <c r="F40" s="12" t="inlineStr"/>
    </row>
    <row r="41">
      <c r="A41" s="4" t="inlineStr">
        <is>
          <t>archive/query_flow_example_rev2.html</t>
        </is>
      </c>
      <c r="B41" s="10" t="inlineStr">
        <is>
          <t>보관</t>
        </is>
      </c>
      <c r="C41" s="5" t="inlineStr">
        <is>
          <t>기입용 엑셀 · 참고 문서 · 생성 스크립트</t>
        </is>
      </c>
      <c r="D41" s="10" t="inlineStr">
        <is>
          <t>27.8 KB</t>
        </is>
      </c>
      <c r="E41" s="11" t="inlineStr"/>
      <c r="F41" s="12" t="inlineStr"/>
    </row>
    <row r="42">
      <c r="A42" s="4" t="inlineStr">
        <is>
          <t>archive/rag_checklist_sheet_rev9.html</t>
        </is>
      </c>
      <c r="B42" s="10" t="inlineStr">
        <is>
          <t>보관</t>
        </is>
      </c>
      <c r="C42" s="5" t="inlineStr">
        <is>
          <t>기입용 엑셀 · 참고 문서 · 생성 스크립트</t>
        </is>
      </c>
      <c r="D42" s="10" t="inlineStr">
        <is>
          <t>196.1 KB</t>
        </is>
      </c>
      <c r="E42" s="11" t="inlineStr"/>
      <c r="F42" s="12" t="inlineStr"/>
    </row>
    <row r="43">
      <c r="A43" s="4" t="inlineStr">
        <is>
          <t>archive/rag_design_guide_rev4.html</t>
        </is>
      </c>
      <c r="B43" s="10" t="inlineStr">
        <is>
          <t>보관</t>
        </is>
      </c>
      <c r="C43" s="5" t="inlineStr">
        <is>
          <t>기입용 엑셀 · 참고 문서 · 생성 스크립트</t>
        </is>
      </c>
      <c r="D43" s="10" t="inlineStr">
        <is>
          <t>68.1 KB</t>
        </is>
      </c>
      <c r="E43" s="11" t="inlineStr"/>
      <c r="F43" s="12" t="inlineStr"/>
    </row>
    <row r="44">
      <c r="A44" s="4" t="inlineStr">
        <is>
          <t>archive/rag_quest_board_rev4.html</t>
        </is>
      </c>
      <c r="B44" s="10" t="inlineStr">
        <is>
          <t>보관</t>
        </is>
      </c>
      <c r="C44" s="5" t="inlineStr">
        <is>
          <t>기입용 엑셀 · 참고 문서 · 생성 스크립트</t>
        </is>
      </c>
      <c r="D44" s="10" t="inlineStr">
        <is>
          <t>88.3 KB</t>
        </is>
      </c>
      <c r="E44" s="11" t="inlineStr"/>
      <c r="F44" s="12" t="inlineStr"/>
    </row>
    <row r="45">
      <c r="A45" s="4" t="inlineStr">
        <is>
          <t>archive/rag_runbook_rev1.html</t>
        </is>
      </c>
      <c r="B45" s="10" t="inlineStr">
        <is>
          <t>보관</t>
        </is>
      </c>
      <c r="C45" s="5" t="inlineStr">
        <is>
          <t>기입용 엑셀 · 참고 문서 · 생성 스크립트</t>
        </is>
      </c>
      <c r="D45" s="10" t="inlineStr">
        <is>
          <t>40.7 KB</t>
        </is>
      </c>
      <c r="E45" s="11" t="inlineStr"/>
      <c r="F45" s="12" t="inlineStr"/>
    </row>
    <row r="46">
      <c r="A46" s="4" t="inlineStr">
        <is>
          <t>archive/rag_stage_checklist_rev3.html</t>
        </is>
      </c>
      <c r="B46" s="10" t="inlineStr">
        <is>
          <t>보관</t>
        </is>
      </c>
      <c r="C46" s="5" t="inlineStr">
        <is>
          <t>기입용 엑셀 · 참고 문서 · 생성 스크립트</t>
        </is>
      </c>
      <c r="D46" s="10" t="inlineStr">
        <is>
          <t>82.8 KB</t>
        </is>
      </c>
      <c r="E46" s="11" t="inlineStr"/>
      <c r="F46" s="12" t="inlineStr"/>
    </row>
    <row r="47">
      <c r="A47" s="4" t="inlineStr">
        <is>
          <t>archive/smoke_test_20_rev1.html</t>
        </is>
      </c>
      <c r="B47" s="10" t="inlineStr">
        <is>
          <t>보관</t>
        </is>
      </c>
      <c r="C47" s="5" t="inlineStr">
        <is>
          <t>기입용 엑셀 · 참고 문서 · 생성 스크립트</t>
        </is>
      </c>
      <c r="D47" s="10" t="inlineStr">
        <is>
          <t>23.9 KB</t>
        </is>
      </c>
      <c r="E47" s="11" t="inlineStr"/>
      <c r="F47" s="12" t="inlineStr"/>
    </row>
    <row r="48">
      <c r="A48" s="4" t="inlineStr">
        <is>
          <t>archive/inside/README.md</t>
        </is>
      </c>
      <c r="B48" s="10" t="inlineStr">
        <is>
          <t>문서</t>
        </is>
      </c>
      <c r="C48" s="5" t="inlineStr">
        <is>
          <t>개요 · 실행 방법 요약</t>
        </is>
      </c>
      <c r="D48" s="10" t="inlineStr">
        <is>
          <t>0.8 KB</t>
        </is>
      </c>
      <c r="E48" s="11" t="inlineStr"/>
      <c r="F48" s="12" t="inlineStr"/>
    </row>
    <row r="49">
      <c r="A49" s="4" t="inlineStr">
        <is>
          <t>archive/inside/golden_eval_pack_rev4.xlsx</t>
        </is>
      </c>
      <c r="B49" s="10" t="inlineStr">
        <is>
          <t>기타</t>
        </is>
      </c>
      <c r="C49" s="5" t="inlineStr"/>
      <c r="D49" s="10" t="inlineStr">
        <is>
          <t>123.8 KB</t>
        </is>
      </c>
      <c r="E49" s="11" t="inlineStr"/>
      <c r="F49" s="12" t="inlineStr"/>
    </row>
    <row r="50">
      <c r="A50" s="4" t="inlineStr">
        <is>
          <t>archive/inside/metric_catalog_template_rev1.xlsx</t>
        </is>
      </c>
      <c r="B50" s="10" t="inlineStr">
        <is>
          <t>기타</t>
        </is>
      </c>
      <c r="C50" s="5" t="inlineStr"/>
      <c r="D50" s="10" t="inlineStr">
        <is>
          <t>15.0 KB</t>
        </is>
      </c>
      <c r="E50" s="11" t="inlineStr"/>
      <c r="F50" s="12" t="inlineStr"/>
    </row>
    <row r="51">
      <c r="A51" s="4" t="inlineStr">
        <is>
          <t>archive/inside/rag_checklist_rev10.xlsx</t>
        </is>
      </c>
      <c r="B51" s="10" t="inlineStr">
        <is>
          <t>기타</t>
        </is>
      </c>
      <c r="C51" s="5" t="inlineStr"/>
      <c r="D51" s="10" t="inlineStr">
        <is>
          <t>69.8 KB</t>
        </is>
      </c>
      <c r="E51" s="11" t="inlineStr"/>
      <c r="F51" s="12" t="inlineStr"/>
    </row>
    <row r="52">
      <c r="A52" s="4" t="inlineStr">
        <is>
          <t>archive/inside/rag_file_index_rev1.xlsx</t>
        </is>
      </c>
      <c r="B52" s="10" t="inlineStr">
        <is>
          <t>기타</t>
        </is>
      </c>
      <c r="C52" s="5" t="inlineStr"/>
      <c r="D52" s="10" t="inlineStr">
        <is>
          <t>51.4 KB</t>
        </is>
      </c>
      <c r="E52" s="11" t="inlineStr"/>
      <c r="F52" s="12" t="inlineStr"/>
    </row>
    <row r="53">
      <c r="A53" s="4" t="inlineStr">
        <is>
          <t>archive/inside/rag_project_log_rev1.xlsx</t>
        </is>
      </c>
      <c r="B53" s="10" t="inlineStr">
        <is>
          <t>기타</t>
        </is>
      </c>
      <c r="C53" s="5" t="inlineStr"/>
      <c r="D53" s="10" t="inlineStr">
        <is>
          <t>51.3 KB</t>
        </is>
      </c>
      <c r="E53" s="11" t="inlineStr"/>
      <c r="F53" s="12" t="inlineStr"/>
    </row>
    <row r="54">
      <c r="A54" s="4" t="inlineStr">
        <is>
          <t>archive/inside/rag_run_guide_rev1.xlsx</t>
        </is>
      </c>
      <c r="B54" s="10" t="inlineStr">
        <is>
          <t>기타</t>
        </is>
      </c>
      <c r="C54" s="5" t="inlineStr"/>
      <c r="D54" s="10" t="inlineStr">
        <is>
          <t>25.1 KB</t>
        </is>
      </c>
      <c r="E54" s="11" t="inlineStr"/>
      <c r="F54" s="12" t="inlineStr"/>
    </row>
    <row r="55">
      <c r="A55" s="4" t="inlineStr">
        <is>
          <t>archive/inside/rag_runbook_t2_rev1.html</t>
        </is>
      </c>
      <c r="B55" s="10" t="inlineStr">
        <is>
          <t>기타</t>
        </is>
      </c>
      <c r="C55" s="5" t="inlineStr"/>
      <c r="D55" s="10" t="inlineStr">
        <is>
          <t>88.0 KB</t>
        </is>
      </c>
      <c r="E55" s="11" t="inlineStr"/>
      <c r="F55" s="12" t="inlineStr"/>
    </row>
    <row r="56">
      <c r="A56" s="4" t="inlineStr">
        <is>
          <t>archive/src/answers_golden.py</t>
        </is>
      </c>
      <c r="B56" s="10" t="inlineStr">
        <is>
          <t>보관</t>
        </is>
      </c>
      <c r="C56" s="5" t="inlineStr">
        <is>
          <t>문서 · 엑셀 생성 스크립트</t>
        </is>
      </c>
      <c r="D56" s="10" t="inlineStr">
        <is>
          <t>15.6 KB</t>
        </is>
      </c>
      <c r="E56" s="11" t="inlineStr"/>
      <c r="F56" s="12" t="inlineStr"/>
    </row>
    <row r="57">
      <c r="A57" s="4" t="inlineStr">
        <is>
          <t>archive/src/columns_data.py</t>
        </is>
      </c>
      <c r="B57" s="10" t="inlineStr">
        <is>
          <t>보관</t>
        </is>
      </c>
      <c r="C57" s="5" t="inlineStr">
        <is>
          <t>문서 · 엑셀 생성 스크립트</t>
        </is>
      </c>
      <c r="D57" s="10" t="inlineStr">
        <is>
          <t>24.5 KB</t>
        </is>
      </c>
      <c r="E57" s="11" t="inlineStr"/>
      <c r="F57" s="12" t="inlineStr"/>
    </row>
    <row r="58">
      <c r="A58" s="4" t="inlineStr">
        <is>
          <t>archive/src/columns_render.py</t>
        </is>
      </c>
      <c r="B58" s="10" t="inlineStr">
        <is>
          <t>보관</t>
        </is>
      </c>
      <c r="C58" s="5" t="inlineStr">
        <is>
          <t>문서 · 엑셀 생성 스크립트</t>
        </is>
      </c>
      <c r="D58" s="10" t="inlineStr">
        <is>
          <t>9.2 KB</t>
        </is>
      </c>
      <c r="E58" s="11" t="inlineStr"/>
      <c r="F58" s="12" t="inlineStr"/>
    </row>
    <row r="59">
      <c r="A59" s="4" t="inlineStr">
        <is>
          <t>archive/src/flows_data.py</t>
        </is>
      </c>
      <c r="B59" s="10" t="inlineStr">
        <is>
          <t>보관</t>
        </is>
      </c>
      <c r="C59" s="5" t="inlineStr">
        <is>
          <t>문서 · 엑셀 생성 스크립트</t>
        </is>
      </c>
      <c r="D59" s="10" t="inlineStr">
        <is>
          <t>10.2 KB</t>
        </is>
      </c>
      <c r="E59" s="11" t="inlineStr"/>
      <c r="F59" s="12" t="inlineStr"/>
    </row>
    <row r="60">
      <c r="A60" s="4" t="inlineStr">
        <is>
          <t>archive/src/flows_render.py</t>
        </is>
      </c>
      <c r="B60" s="10" t="inlineStr">
        <is>
          <t>보관</t>
        </is>
      </c>
      <c r="C60" s="5" t="inlineStr">
        <is>
          <t>문서 · 엑셀 생성 스크립트</t>
        </is>
      </c>
      <c r="D60" s="10" t="inlineStr">
        <is>
          <t>8.5 KB</t>
        </is>
      </c>
      <c r="E60" s="11" t="inlineStr"/>
      <c r="F60" s="12" t="inlineStr"/>
    </row>
    <row r="61">
      <c r="A61" s="4" t="inlineStr">
        <is>
          <t>archive/src/make_checklist_sheet_rev9.py</t>
        </is>
      </c>
      <c r="B61" s="10" t="inlineStr">
        <is>
          <t>보관</t>
        </is>
      </c>
      <c r="C61" s="5" t="inlineStr">
        <is>
          <t>문서 · 엑셀 생성 스크립트</t>
        </is>
      </c>
      <c r="D61" s="10" t="inlineStr">
        <is>
          <t>19.5 KB</t>
        </is>
      </c>
      <c r="E61" s="11" t="inlineStr"/>
      <c r="F61" s="12" t="inlineStr"/>
    </row>
    <row r="62">
      <c r="A62" s="4" t="inlineStr">
        <is>
          <t>archive/src/make_checklist_xlsx_rev10.py</t>
        </is>
      </c>
      <c r="B62" s="10" t="inlineStr">
        <is>
          <t>보관</t>
        </is>
      </c>
      <c r="C62" s="5" t="inlineStr">
        <is>
          <t>문서 · 엑셀 생성 스크립트</t>
        </is>
      </c>
      <c r="D62" s="10" t="inlineStr">
        <is>
          <t>32.2 KB</t>
        </is>
      </c>
      <c r="E62" s="11" t="inlineStr"/>
      <c r="F62" s="12" t="inlineStr"/>
    </row>
    <row r="63">
      <c r="A63" s="4" t="inlineStr">
        <is>
          <t>archive/src/make_checklist_xlsx_rev9.py</t>
        </is>
      </c>
      <c r="B63" s="10" t="inlineStr">
        <is>
          <t>보관</t>
        </is>
      </c>
      <c r="C63" s="5" t="inlineStr">
        <is>
          <t>문서 · 엑셀 생성 스크립트</t>
        </is>
      </c>
      <c r="D63" s="10" t="inlineStr">
        <is>
          <t>26.4 KB</t>
        </is>
      </c>
      <c r="E63" s="11" t="inlineStr"/>
      <c r="F63" s="12" t="inlineStr"/>
    </row>
    <row r="64">
      <c r="A64" s="4" t="inlineStr">
        <is>
          <t>archive/src/make_file_index.py</t>
        </is>
      </c>
      <c r="B64" s="10" t="inlineStr">
        <is>
          <t>보관</t>
        </is>
      </c>
      <c r="C64" s="5" t="inlineStr">
        <is>
          <t>문서 · 엑셀 생성 스크립트</t>
        </is>
      </c>
      <c r="D64" s="10" t="inlineStr">
        <is>
          <t>17.3 KB</t>
        </is>
      </c>
      <c r="E64" s="11" t="inlineStr"/>
      <c r="F64" s="12" t="inlineStr"/>
    </row>
    <row r="65">
      <c r="A65" s="4" t="inlineStr">
        <is>
          <t>archive/src/make_golden_eval_pack_rev2.py</t>
        </is>
      </c>
      <c r="B65" s="10" t="inlineStr">
        <is>
          <t>보관</t>
        </is>
      </c>
      <c r="C65" s="5" t="inlineStr">
        <is>
          <t>문서 · 엑셀 생성 스크립트</t>
        </is>
      </c>
      <c r="D65" s="10" t="inlineStr">
        <is>
          <t>23.4 KB</t>
        </is>
      </c>
      <c r="E65" s="11" t="inlineStr"/>
      <c r="F65" s="12" t="inlineStr"/>
    </row>
    <row r="66">
      <c r="A66" s="4" t="inlineStr">
        <is>
          <t>archive/src/make_golden_eval_pack_rev3.py</t>
        </is>
      </c>
      <c r="B66" s="10" t="inlineStr">
        <is>
          <t>보관</t>
        </is>
      </c>
      <c r="C66" s="5" t="inlineStr">
        <is>
          <t>문서 · 엑셀 생성 스크립트</t>
        </is>
      </c>
      <c r="D66" s="10" t="inlineStr">
        <is>
          <t>28.5 KB</t>
        </is>
      </c>
      <c r="E66" s="11" t="inlineStr"/>
      <c r="F66" s="12" t="inlineStr"/>
    </row>
    <row r="67">
      <c r="A67" s="4" t="inlineStr">
        <is>
          <t>archive/src/make_golden_eval_pack_rev4.py</t>
        </is>
      </c>
      <c r="B67" s="10" t="inlineStr">
        <is>
          <t>보관</t>
        </is>
      </c>
      <c r="C67" s="5" t="inlineStr">
        <is>
          <t>문서 · 엑셀 생성 스크립트</t>
        </is>
      </c>
      <c r="D67" s="10" t="inlineStr">
        <is>
          <t>32.5 KB</t>
        </is>
      </c>
      <c r="E67" s="11" t="inlineStr"/>
      <c r="F67" s="12" t="inlineStr"/>
    </row>
    <row r="68">
      <c r="A68" s="4" t="inlineStr">
        <is>
          <t>archive/src/make_golden_example.py</t>
        </is>
      </c>
      <c r="B68" s="10" t="inlineStr">
        <is>
          <t>보관</t>
        </is>
      </c>
      <c r="C68" s="5" t="inlineStr">
        <is>
          <t>문서 · 엑셀 생성 스크립트</t>
        </is>
      </c>
      <c r="D68" s="10" t="inlineStr">
        <is>
          <t>7.0 KB</t>
        </is>
      </c>
      <c r="E68" s="11" t="inlineStr"/>
      <c r="F68" s="12" t="inlineStr"/>
    </row>
    <row r="69">
      <c r="A69" s="4" t="inlineStr">
        <is>
          <t>archive/src/make_golden_example_rev2.py</t>
        </is>
      </c>
      <c r="B69" s="10" t="inlineStr">
        <is>
          <t>보관</t>
        </is>
      </c>
      <c r="C69" s="5" t="inlineStr">
        <is>
          <t>문서 · 엑셀 생성 스크립트</t>
        </is>
      </c>
      <c r="D69" s="10" t="inlineStr">
        <is>
          <t>8.8 KB</t>
        </is>
      </c>
      <c r="E69" s="11" t="inlineStr"/>
      <c r="F69" s="12" t="inlineStr"/>
    </row>
    <row r="70">
      <c r="A70" s="4" t="inlineStr">
        <is>
          <t>archive/src/make_metric_catalog.py</t>
        </is>
      </c>
      <c r="B70" s="10" t="inlineStr">
        <is>
          <t>보관</t>
        </is>
      </c>
      <c r="C70" s="5" t="inlineStr">
        <is>
          <t>문서 · 엑셀 생성 스크립트</t>
        </is>
      </c>
      <c r="D70" s="10" t="inlineStr">
        <is>
          <t>8.0 KB</t>
        </is>
      </c>
      <c r="E70" s="11" t="inlineStr"/>
      <c r="F70" s="12" t="inlineStr"/>
    </row>
    <row r="71">
      <c r="A71" s="4" t="inlineStr">
        <is>
          <t>archive/src/make_practice_checklist.py</t>
        </is>
      </c>
      <c r="B71" s="10" t="inlineStr">
        <is>
          <t>보관</t>
        </is>
      </c>
      <c r="C71" s="5" t="inlineStr">
        <is>
          <t>문서 · 엑셀 생성 스크립트</t>
        </is>
      </c>
      <c r="D71" s="10" t="inlineStr">
        <is>
          <t>8.6 KB</t>
        </is>
      </c>
      <c r="E71" s="11" t="inlineStr"/>
      <c r="F71" s="12" t="inlineStr"/>
    </row>
    <row r="72">
      <c r="A72" s="4" t="inlineStr">
        <is>
          <t>archive/src/make_project_log.py</t>
        </is>
      </c>
      <c r="B72" s="10" t="inlineStr">
        <is>
          <t>보관</t>
        </is>
      </c>
      <c r="C72" s="5" t="inlineStr">
        <is>
          <t>문서 · 엑셀 생성 스크립트</t>
        </is>
      </c>
      <c r="D72" s="10" t="inlineStr">
        <is>
          <t>27.7 KB</t>
        </is>
      </c>
      <c r="E72" s="11" t="inlineStr"/>
      <c r="F72" s="12" t="inlineStr"/>
    </row>
    <row r="73">
      <c r="A73" s="4" t="inlineStr">
        <is>
          <t>archive/src/make_query_flow.py</t>
        </is>
      </c>
      <c r="B73" s="10" t="inlineStr">
        <is>
          <t>보관</t>
        </is>
      </c>
      <c r="C73" s="5" t="inlineStr">
        <is>
          <t>문서 · 엑셀 생성 스크립트</t>
        </is>
      </c>
      <c r="D73" s="10" t="inlineStr">
        <is>
          <t>19.8 KB</t>
        </is>
      </c>
      <c r="E73" s="11" t="inlineStr"/>
      <c r="F73" s="12" t="inlineStr"/>
    </row>
    <row r="74">
      <c r="A74" s="4" t="inlineStr">
        <is>
          <t>archive/src/make_run_guide.py</t>
        </is>
      </c>
      <c r="B74" s="10" t="inlineStr">
        <is>
          <t>보관</t>
        </is>
      </c>
      <c r="C74" s="5" t="inlineStr">
        <is>
          <t>문서 · 엑셀 생성 스크립트</t>
        </is>
      </c>
      <c r="D74" s="10" t="inlineStr">
        <is>
          <t>27.1 KB</t>
        </is>
      </c>
      <c r="E74" s="11" t="inlineStr"/>
      <c r="F74" s="12" t="inlineStr"/>
    </row>
    <row r="75">
      <c r="A75" s="4" t="inlineStr">
        <is>
          <t>archive/src/phase3_data.py</t>
        </is>
      </c>
      <c r="B75" s="10" t="inlineStr">
        <is>
          <t>보관</t>
        </is>
      </c>
      <c r="C75" s="5" t="inlineStr">
        <is>
          <t>문서 · 엑셀 생성 스크립트</t>
        </is>
      </c>
      <c r="D75" s="10" t="inlineStr">
        <is>
          <t>8.9 KB</t>
        </is>
      </c>
      <c r="E75" s="11" t="inlineStr"/>
      <c r="F75" s="12" t="inlineStr"/>
    </row>
    <row r="76">
      <c r="A76" s="4" t="inlineStr">
        <is>
          <t>archive/src/phase3_render.py</t>
        </is>
      </c>
      <c r="B76" s="10" t="inlineStr">
        <is>
          <t>보관</t>
        </is>
      </c>
      <c r="C76" s="5" t="inlineStr">
        <is>
          <t>문서 · 엑셀 생성 스크립트</t>
        </is>
      </c>
      <c r="D76" s="10" t="inlineStr">
        <is>
          <t>2.7 KB</t>
        </is>
      </c>
      <c r="E76" s="11" t="inlineStr"/>
      <c r="F76" s="12" t="inlineStr"/>
    </row>
    <row r="77">
      <c r="A77" s="4" t="inlineStr">
        <is>
          <t>archive/src/rag_checklist_sheet_rev9.html</t>
        </is>
      </c>
      <c r="B77" s="10" t="inlineStr">
        <is>
          <t>보관</t>
        </is>
      </c>
      <c r="C77" s="5" t="inlineStr">
        <is>
          <t>문서 · 엑셀 생성 스크립트</t>
        </is>
      </c>
      <c r="D77" s="10" t="inlineStr">
        <is>
          <t>196.1 KB</t>
        </is>
      </c>
      <c r="E77" s="11" t="inlineStr"/>
      <c r="F77" s="12" t="inlineStr"/>
    </row>
    <row r="78">
      <c r="A78" s="4" t="inlineStr">
        <is>
          <t>archive/src/sources_data.py</t>
        </is>
      </c>
      <c r="B78" s="10" t="inlineStr">
        <is>
          <t>보관</t>
        </is>
      </c>
      <c r="C78" s="5" t="inlineStr">
        <is>
          <t>문서 · 엑셀 생성 스크립트</t>
        </is>
      </c>
      <c r="D78" s="10" t="inlineStr">
        <is>
          <t>6.2 KB</t>
        </is>
      </c>
      <c r="E78" s="11" t="inlineStr"/>
      <c r="F78" s="12" t="inlineStr"/>
    </row>
    <row r="79">
      <c r="A79" s="4" t="inlineStr">
        <is>
          <t>archive/src/xlsx_cache.py</t>
        </is>
      </c>
      <c r="B79" s="10" t="inlineStr">
        <is>
          <t>보관</t>
        </is>
      </c>
      <c r="C79" s="5" t="inlineStr">
        <is>
          <t>문서 · 엑셀 생성 스크립트</t>
        </is>
      </c>
      <c r="D79" s="10" t="inlineStr">
        <is>
          <t>3.1 KB</t>
        </is>
      </c>
      <c r="E79" s="11" t="inlineStr"/>
      <c r="F79" s="12" t="inlineStr"/>
    </row>
    <row r="80">
      <c r="A80" s="4" t="inlineStr">
        <is>
          <t>catalog/metric_catalog_example.xlsx</t>
        </is>
      </c>
      <c r="B80" s="10" t="inlineStr">
        <is>
          <t>데이터</t>
        </is>
      </c>
      <c r="C80" s="5" t="inlineStr">
        <is>
          <t>정형 지표 정의서</t>
        </is>
      </c>
      <c r="D80" s="10" t="inlineStr">
        <is>
          <t>15.0 KB</t>
        </is>
      </c>
      <c r="E80" s="11" t="inlineStr"/>
      <c r="F80" s="12" t="inlineStr"/>
    </row>
    <row r="81">
      <c r="A81" s="4" t="inlineStr">
        <is>
          <t>docs/README.md</t>
        </is>
      </c>
      <c r="B81" s="10" t="inlineStr">
        <is>
          <t>문서</t>
        </is>
      </c>
      <c r="C81" s="5" t="inlineStr">
        <is>
          <t>개요 · 실행 방법 요약</t>
        </is>
      </c>
      <c r="D81" s="10" t="inlineStr">
        <is>
          <t>0.5 KB</t>
        </is>
      </c>
      <c r="E81" s="11" t="inlineStr"/>
      <c r="F81" s="12" t="inlineStr"/>
    </row>
    <row r="82">
      <c r="A82" s="4" t="inlineStr">
        <is>
          <t>docs/practice_checklist.xlsx</t>
        </is>
      </c>
      <c r="B82" s="10" t="inlineStr">
        <is>
          <t>문서</t>
        </is>
      </c>
      <c r="C82" s="5" t="inlineStr">
        <is>
          <t>돌리는 데 필요한 문서 3종</t>
        </is>
      </c>
      <c r="D82" s="10" t="inlineStr">
        <is>
          <t>9.8 KB</t>
        </is>
      </c>
      <c r="E82" s="11" t="inlineStr"/>
      <c r="F82" s="12" t="inlineStr"/>
    </row>
    <row r="83">
      <c r="A83" s="4" t="inlineStr">
        <is>
          <t>docs/practice_guide.html</t>
        </is>
      </c>
      <c r="B83" s="10" t="inlineStr">
        <is>
          <t>문서</t>
        </is>
      </c>
      <c r="C83" s="5" t="inlineStr">
        <is>
          <t>돌리는 데 필요한 문서 3종</t>
        </is>
      </c>
      <c r="D83" s="10" t="inlineStr">
        <is>
          <t>17.5 KB</t>
        </is>
      </c>
      <c r="E83" s="11" t="inlineStr"/>
      <c r="F83" s="12" t="inlineStr"/>
    </row>
    <row r="84">
      <c r="A84" s="4" t="inlineStr">
        <is>
          <t>golden/answer_golden_v1.csv</t>
        </is>
      </c>
      <c r="B84" s="10" t="inlineStr">
        <is>
          <t>데이터</t>
        </is>
      </c>
      <c r="C84" s="5" t="inlineStr">
        <is>
          <t>평가용 골든셋 · 양식 · 예시</t>
        </is>
      </c>
      <c r="D84" s="10" t="inlineStr">
        <is>
          <t>12.2 KB</t>
        </is>
      </c>
      <c r="E84" s="11" t="inlineStr"/>
      <c r="F84" s="12" t="inlineStr"/>
    </row>
    <row r="85">
      <c r="A85" s="4" t="inlineStr">
        <is>
          <t>golden/golden_sample100.csv</t>
        </is>
      </c>
      <c r="B85" s="10" t="inlineStr">
        <is>
          <t>데이터</t>
        </is>
      </c>
      <c r="C85" s="5" t="inlineStr">
        <is>
          <t>평가용 골든셋 · 양식 · 예시</t>
        </is>
      </c>
      <c r="D85" s="10" t="inlineStr">
        <is>
          <t>6.6 KB</t>
        </is>
      </c>
      <c r="E85" s="11" t="inlineStr"/>
      <c r="F85" s="12" t="inlineStr"/>
    </row>
    <row r="86">
      <c r="A86" s="4" t="inlineStr">
        <is>
          <t>golden/golden_v1.csv</t>
        </is>
      </c>
      <c r="B86" s="10" t="inlineStr">
        <is>
          <t>데이터</t>
        </is>
      </c>
      <c r="C86" s="5" t="inlineStr">
        <is>
          <t>평가용 골든셋 · 양식 · 예시</t>
        </is>
      </c>
      <c r="D86" s="10" t="inlineStr">
        <is>
          <t>0.1 KB</t>
        </is>
      </c>
      <c r="E86" s="11" t="inlineStr"/>
      <c r="F86" s="12" t="inlineStr"/>
    </row>
    <row r="87">
      <c r="A87" s="4" t="inlineStr">
        <is>
          <t>golden/golden_v1_example.csv</t>
        </is>
      </c>
      <c r="B87" s="10" t="inlineStr">
        <is>
          <t>데이터</t>
        </is>
      </c>
      <c r="C87" s="5" t="inlineStr">
        <is>
          <t>평가용 골든셋 · 양식 · 예시</t>
        </is>
      </c>
      <c r="D87" s="10" t="inlineStr">
        <is>
          <t>0.5 KB</t>
        </is>
      </c>
      <c r="E87" s="11" t="inlineStr"/>
      <c r="F87" s="12" t="inlineStr"/>
    </row>
    <row r="88">
      <c r="A88" s="4" t="inlineStr">
        <is>
          <t>golden/smoke20.csv</t>
        </is>
      </c>
      <c r="B88" s="10" t="inlineStr">
        <is>
          <t>데이터</t>
        </is>
      </c>
      <c r="C88" s="5" t="inlineStr">
        <is>
          <t>평가용 골든셋 · 양식 · 예시</t>
        </is>
      </c>
      <c r="D88" s="10" t="inlineStr">
        <is>
          <t>4.0 KB</t>
        </is>
      </c>
      <c r="E88" s="11" t="inlineStr"/>
      <c r="F88" s="12" t="inlineStr"/>
    </row>
    <row r="89">
      <c r="A89" s="4" t="inlineStr">
        <is>
          <t>golden/sql_golden_v1.csv</t>
        </is>
      </c>
      <c r="B89" s="10" t="inlineStr">
        <is>
          <t>데이터</t>
        </is>
      </c>
      <c r="C89" s="5" t="inlineStr">
        <is>
          <t>평가용 골든셋 · 양식 · 예시</t>
        </is>
      </c>
      <c r="D89" s="10" t="inlineStr">
        <is>
          <t>0.0 KB</t>
        </is>
      </c>
      <c r="E89" s="11" t="inlineStr"/>
      <c r="F89" s="12" t="inlineStr"/>
    </row>
    <row r="90">
      <c r="A90" s="4" t="inlineStr">
        <is>
          <t>golden/sql_golden_v1_example.csv</t>
        </is>
      </c>
      <c r="B90" s="10" t="inlineStr">
        <is>
          <t>데이터</t>
        </is>
      </c>
      <c r="C90" s="5" t="inlineStr">
        <is>
          <t>평가용 골든셋 · 양식 · 예시</t>
        </is>
      </c>
      <c r="D90" s="10" t="inlineStr">
        <is>
          <t>0.5 KB</t>
        </is>
      </c>
      <c r="E90" s="11" t="inlineStr"/>
      <c r="F90" s="12" t="inlineStr"/>
    </row>
    <row r="91">
      <c r="A91" s="4" t="inlineStr">
        <is>
          <t>golden/examples/README.md</t>
        </is>
      </c>
      <c r="B91" s="10" t="inlineStr">
        <is>
          <t>문서</t>
        </is>
      </c>
      <c r="C91" s="5" t="inlineStr">
        <is>
          <t>개요 · 실행 방법 요약</t>
        </is>
      </c>
      <c r="D91" s="10" t="inlineStr">
        <is>
          <t>0.9 KB</t>
        </is>
      </c>
      <c r="E91" s="11" t="inlineStr"/>
      <c r="F91" s="12" t="inlineStr"/>
    </row>
    <row r="92">
      <c r="A92" s="4" t="inlineStr">
        <is>
          <t>golden/examples/auto_known_item_example.csv</t>
        </is>
      </c>
      <c r="B92" s="10" t="inlineStr">
        <is>
          <t>기타</t>
        </is>
      </c>
      <c r="C92" s="5" t="inlineStr"/>
      <c r="D92" s="10" t="inlineStr">
        <is>
          <t>1.9 KB</t>
        </is>
      </c>
      <c r="E92" s="11" t="inlineStr"/>
      <c r="F92" s="12" t="inlineStr"/>
    </row>
    <row r="93">
      <c r="A93" s="4" t="inlineStr">
        <is>
          <t>golden/examples/auto_synthetic_example.csv</t>
        </is>
      </c>
      <c r="B93" s="10" t="inlineStr">
        <is>
          <t>기타</t>
        </is>
      </c>
      <c r="C93" s="5" t="inlineStr"/>
      <c r="D93" s="10" t="inlineStr">
        <is>
          <t>2.5 KB</t>
        </is>
      </c>
      <c r="E93" s="11" t="inlineStr"/>
      <c r="F93" s="12" t="inlineStr"/>
    </row>
    <row r="94">
      <c r="A94" s="4" t="inlineStr">
        <is>
          <t>golden/examples/auto_title_example.csv</t>
        </is>
      </c>
      <c r="B94" s="10" t="inlineStr">
        <is>
          <t>기타</t>
        </is>
      </c>
      <c r="C94" s="5" t="inlineStr"/>
      <c r="D94" s="10" t="inlineStr">
        <is>
          <t>0.6 KB</t>
        </is>
      </c>
      <c r="E94" s="11" t="inlineStr"/>
      <c r="F94" s="12" t="inlineStr"/>
    </row>
    <row r="95">
      <c r="A95" s="4" t="inlineStr">
        <is>
          <t>golden/examples/manual_golden_example.csv</t>
        </is>
      </c>
      <c r="B95" s="10" t="inlineStr">
        <is>
          <t>기타</t>
        </is>
      </c>
      <c r="C95" s="5" t="inlineStr"/>
      <c r="D95" s="10" t="inlineStr">
        <is>
          <t>1.1 KB</t>
        </is>
      </c>
      <c r="E95" s="11" t="inlineStr"/>
      <c r="F95" s="12" t="inlineStr"/>
    </row>
    <row r="96">
      <c r="A96" s="4" t="inlineStr">
        <is>
          <t>golden/examples/sql_golden_example.csv</t>
        </is>
      </c>
      <c r="B96" s="10" t="inlineStr">
        <is>
          <t>기타</t>
        </is>
      </c>
      <c r="C96" s="5" t="inlineStr"/>
      <c r="D96" s="10" t="inlineStr">
        <is>
          <t>1.0 KB</t>
        </is>
      </c>
      <c r="E96" s="11" t="inlineStr"/>
      <c r="F96" s="12" t="inlineStr"/>
    </row>
    <row r="98">
      <c r="A98" s="16" t="inlineStr">
        <is>
          <t>집계</t>
        </is>
      </c>
    </row>
    <row r="99">
      <c r="A99" s="17" t="inlineStr">
        <is>
          <t>전체 파일</t>
        </is>
      </c>
      <c r="B99" s="18">
        <f>COUNTIF(A5:A96,"&lt;&gt;")</f>
        <v>92</v>
      </c>
    </row>
    <row r="100">
      <c r="A100" s="17" t="inlineStr">
        <is>
          <t>확인 완료</t>
        </is>
      </c>
      <c r="B100" s="18">
        <f>COUNTIF(E5:E96,"확인")</f>
        <v>0</v>
      </c>
    </row>
    <row r="101">
      <c r="A101" s="17" t="inlineStr">
        <is>
          <t>질문 있음</t>
        </is>
      </c>
      <c r="B101" s="18">
        <f>COUNTIF(E5:E96,"질문 있음")</f>
        <v>0</v>
      </c>
    </row>
    <row r="102">
      <c r="A102" s="17" t="inlineStr">
        <is>
          <t>진행률</t>
        </is>
      </c>
      <c r="B102" s="19">
        <f>IFERROR(COUNTIF(E5:E96,"확인")/COUNTIF(A5:A96,"&lt;&gt;"),"")</f>
        <v>0.0</v>
      </c>
    </row>
  </sheetData>
  <mergeCells count="2">
    <mergeCell ref="A2:F2"/>
    <mergeCell ref="A1:F1"/>
  </mergeCells>
  <conditionalFormatting sqref="E5:E96">
    <cfRule type="cellIs" priority="1" operator="equal" dxfId="0">
      <formula>"확인"</formula>
    </cfRule>
    <cfRule type="cellIs" priority="2" operator="equal" dxfId="1">
      <formula>"질문 있음"</formula>
    </cfRule>
  </conditionalFormatting>
  <dataValidations count="1">
    <dataValidation sqref="E5:E96" showDropDown="0" showInputMessage="0" showErrorMessage="0" allowBlank="1" type="list">
      <formula1>"확인,보류,질문 있음"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46" customWidth="1" min="3" max="3"/>
    <col width="8" customWidth="1" min="4" max="4"/>
    <col width="62" customWidth="1" min="5" max="5"/>
    <col width="6" customWidth="1" min="6" max="6"/>
    <col width="9" customWidth="1" min="7" max="7"/>
    <col width="26" customWidth="1" min="8" max="8"/>
  </cols>
  <sheetData>
    <row r="1">
      <c r="A1" s="6" t="inlineStr">
        <is>
          <t>2. 함수 목록</t>
        </is>
      </c>
    </row>
    <row r="2">
      <c r="A2" s="2" t="inlineStr">
        <is>
          <t>전체 359 개 · 코드에서 자동 추출 · G · H 열 기입</t>
        </is>
      </c>
    </row>
    <row r="4">
      <c r="A4" s="3" t="inlineStr">
        <is>
          <t>파일</t>
        </is>
      </c>
      <c r="B4" s="3" t="inlineStr">
        <is>
          <t>구분</t>
        </is>
      </c>
      <c r="C4" s="3" t="inlineStr">
        <is>
          <t>함수 · 클래스 · 설정값</t>
        </is>
      </c>
      <c r="D4" s="3" t="inlineStr">
        <is>
          <t>종류</t>
        </is>
      </c>
      <c r="E4" s="3" t="inlineStr">
        <is>
          <t>한 줄 설명 (코드 주석)</t>
        </is>
      </c>
      <c r="F4" s="3" t="inlineStr">
        <is>
          <t>줄</t>
        </is>
      </c>
      <c r="G4" s="3" t="inlineStr">
        <is>
          <t>확인</t>
        </is>
      </c>
      <c r="H4" s="3" t="inlineStr">
        <is>
          <t>메모</t>
        </is>
      </c>
    </row>
    <row r="5">
      <c r="A5" s="5" t="inlineStr">
        <is>
          <t>lab_autoeval.py</t>
        </is>
      </c>
      <c r="B5" s="10" t="inlineStr">
        <is>
          <t>공통</t>
        </is>
      </c>
      <c r="C5" s="5" t="inlineStr">
        <is>
          <t>_sentences(text, min_len, max_len)</t>
        </is>
      </c>
      <c r="D5" s="10" t="inlineStr">
        <is>
          <t>함수</t>
        </is>
      </c>
      <c r="E5" s="5" t="inlineStr">
        <is>
          <t>문장 후보 추출 — 너무 짧거나 긴 것, 표 · 목차 줄은 제외.</t>
        </is>
      </c>
      <c r="F5" s="10" t="n">
        <v>22</v>
      </c>
      <c r="G5" s="11" t="inlineStr"/>
      <c r="H5" s="12" t="inlineStr"/>
    </row>
    <row r="6">
      <c r="A6" s="5" t="inlineStr">
        <is>
          <t>lab_autoeval.py</t>
        </is>
      </c>
      <c r="B6" s="10" t="inlineStr">
        <is>
          <t>공통</t>
        </is>
      </c>
      <c r="C6" s="5" t="inlineStr">
        <is>
          <t>difficulty(sent)</t>
        </is>
      </c>
      <c r="D6" s="10" t="inlineStr">
        <is>
          <t>함수</t>
        </is>
      </c>
      <c r="E6" s="5" t="inlineStr">
        <is>
          <t>easy: 고유 코드 · 수치 포함 / mid: 일반 문장</t>
        </is>
      </c>
      <c r="F6" s="10" t="n">
        <v>41</v>
      </c>
      <c r="G6" s="11" t="inlineStr"/>
      <c r="H6" s="12" t="inlineStr"/>
    </row>
    <row r="7">
      <c r="A7" s="5" t="inlineStr">
        <is>
          <t>lab_autoeval.py</t>
        </is>
      </c>
      <c r="B7" s="10" t="inlineStr">
        <is>
          <t>공통</t>
        </is>
      </c>
      <c r="C7" s="5" t="inlineStr">
        <is>
          <t>uniqueness(sent, corpus_index, top)</t>
        </is>
      </c>
      <c r="D7" s="10" t="inlineStr">
        <is>
          <t>함수</t>
        </is>
      </c>
      <c r="E7" s="5" t="inlineStr">
        <is>
          <t>이 문장이 코퍼스에서 얼마나 유일한가 — BM25 상위 결과가 한 문서에 몰리면 유일.</t>
        </is>
      </c>
      <c r="F7" s="10" t="n">
        <v>46</v>
      </c>
      <c r="G7" s="11" t="inlineStr"/>
      <c r="H7" s="12" t="inlineStr"/>
    </row>
    <row r="8">
      <c r="A8" s="5" t="inlineStr">
        <is>
          <t>lab_autoeval.py</t>
        </is>
      </c>
      <c r="B8" s="10" t="inlineStr">
        <is>
          <t>공통</t>
        </is>
      </c>
      <c r="C8" s="5" t="inlineStr">
        <is>
          <t>make_known_item(chunks, n, per_doc, seed, min_chunk_len)</t>
        </is>
      </c>
      <c r="D8" s="10" t="inlineStr">
        <is>
          <t>함수</t>
        </is>
      </c>
      <c r="E8" s="5" t="inlineStr">
        <is>
          <t>L1 known-item 평가셋 — 라벨 작업 없이 생성.</t>
        </is>
      </c>
      <c r="F8" s="10" t="n">
        <v>55</v>
      </c>
      <c r="G8" s="11" t="inlineStr"/>
      <c r="H8" s="12" t="inlineStr"/>
    </row>
    <row r="9">
      <c r="A9" s="5" t="inlineStr">
        <is>
          <t>lab_autoeval.py</t>
        </is>
      </c>
      <c r="B9" s="10" t="inlineStr">
        <is>
          <t>공통</t>
        </is>
      </c>
      <c r="C9" s="5" t="inlineStr">
        <is>
          <t>make_title_query(docs, n, seed, min_title_len)</t>
        </is>
      </c>
      <c r="D9" s="10" t="inlineStr">
        <is>
          <t>함수</t>
        </is>
      </c>
      <c r="E9" s="5" t="inlineStr">
        <is>
          <t>L1b 제목 질의 — 제목만으로 해당 문서를 찾는지. 제목이 본문에 없으면 난이도 상승.</t>
        </is>
      </c>
      <c r="F9" s="10" t="n">
        <v>80</v>
      </c>
      <c r="G9" s="11" t="inlineStr"/>
      <c r="H9" s="12" t="inlineStr"/>
    </row>
    <row r="10">
      <c r="A10" s="5" t="inlineStr">
        <is>
          <t>lab_autoeval.py</t>
        </is>
      </c>
      <c r="B10" s="10" t="inlineStr">
        <is>
          <t>공통</t>
        </is>
      </c>
      <c r="C10" s="5" t="inlineStr">
        <is>
          <t>make_dup_pair(docs, text_col, threshold, n, seed)</t>
        </is>
      </c>
      <c r="D10" s="10" t="inlineStr">
        <is>
          <t>함수</t>
        </is>
      </c>
      <c r="E10" s="5" t="inlineStr">
        <is>
          <t>L1c 중복쌍 — 근사 중복 문서 A·B 중 A 문장으로 질의 시 B 도 상위에 오는지(의미 회수).</t>
        </is>
      </c>
      <c r="F10" s="10" t="n">
        <v>92</v>
      </c>
      <c r="G10" s="11" t="inlineStr"/>
      <c r="H10" s="12" t="inlineStr"/>
    </row>
    <row r="11">
      <c r="A11" s="20" t="inlineStr">
        <is>
          <t>lab_autoeval.py</t>
        </is>
      </c>
      <c r="B11" s="21" t="inlineStr">
        <is>
          <t>공통</t>
        </is>
      </c>
      <c r="C11" s="20" t="inlineStr">
        <is>
          <t>SYN_PROMPT</t>
        </is>
      </c>
      <c r="D11" s="21" t="inlineStr">
        <is>
          <t>설정값</t>
        </is>
      </c>
      <c r="E11" s="20" t="inlineStr">
        <is>
          <t xml:space="preserve">값 = 아래 [문서 조각]만 보고, 이 조각이 정답이 되는 **한국어 질문 1개**를 만들어라.
조건:
- 조각에 </t>
        </is>
      </c>
      <c r="F11" s="21" t="n">
        <v>111</v>
      </c>
      <c r="G11" s="11" t="inlineStr"/>
      <c r="H11" s="12" t="inlineStr"/>
    </row>
    <row r="12">
      <c r="A12" s="5" t="inlineStr">
        <is>
          <t>lab_autoeval.py</t>
        </is>
      </c>
      <c r="B12" s="10" t="inlineStr">
        <is>
          <t>공통</t>
        </is>
      </c>
      <c r="C12" s="5" t="inlineStr">
        <is>
          <t>make_synthetic(chunks, n, seed, min_chunk_len, llm)</t>
        </is>
      </c>
      <c r="D12" s="10" t="inlineStr">
        <is>
          <t>함수</t>
        </is>
      </c>
      <c r="E12" s="5" t="inlineStr">
        <is>
          <t>L2 합성 QA — 사내 LLM 으로 질문 생성. llm(prompt) -&gt; str 을 주입(테스트 용이).</t>
        </is>
      </c>
      <c r="F12" s="10" t="n">
        <v>124</v>
      </c>
      <c r="G12" s="11" t="inlineStr"/>
      <c r="H12" s="12" t="inlineStr"/>
    </row>
    <row r="13">
      <c r="A13" s="5" t="inlineStr">
        <is>
          <t>lab_autoeval.py</t>
        </is>
      </c>
      <c r="B13" s="10" t="inlineStr">
        <is>
          <t>공통</t>
        </is>
      </c>
      <c r="C13" s="5" t="inlineStr">
        <is>
          <t>_grams(t, n)</t>
        </is>
      </c>
      <c r="D13" s="10" t="inlineStr">
        <is>
          <t>함수</t>
        </is>
      </c>
      <c r="E13" s="5" t="inlineStr"/>
      <c r="F13" s="10" t="n">
        <v>152</v>
      </c>
      <c r="G13" s="11" t="inlineStr"/>
      <c r="H13" s="12" t="inlineStr"/>
    </row>
    <row r="14">
      <c r="A14" s="5" t="inlineStr">
        <is>
          <t>lab_autoeval.py</t>
        </is>
      </c>
      <c r="B14" s="10" t="inlineStr">
        <is>
          <t>공통</t>
        </is>
      </c>
      <c r="C14" s="5" t="inlineStr">
        <is>
          <t>_overlap(a, b)</t>
        </is>
      </c>
      <c r="D14" s="10" t="inlineStr">
        <is>
          <t>함수</t>
        </is>
      </c>
      <c r="E14" s="5" t="inlineStr"/>
      <c r="F14" s="10" t="n">
        <v>157</v>
      </c>
      <c r="G14" s="11" t="inlineStr"/>
      <c r="H14" s="12" t="inlineStr"/>
    </row>
    <row r="15">
      <c r="A15" s="5" t="inlineStr">
        <is>
          <t>lab_autoeval.py</t>
        </is>
      </c>
      <c r="B15" s="10" t="inlineStr">
        <is>
          <t>공통</t>
        </is>
      </c>
      <c r="C15" s="5" t="inlineStr">
        <is>
          <t>screen(eval_df, search_fn, k, min_level_ok)</t>
        </is>
      </c>
      <c r="D15" s="10" t="inlineStr">
        <is>
          <t>함수</t>
        </is>
      </c>
      <c r="E15" s="5" t="inlineStr">
        <is>
          <t>평가셋 사전 검증 — 질의가 애초에 답이 나올 수 없는 것(코퍼스 밖 · 중복 문서 과다)을 걸러낸다.</t>
        </is>
      </c>
      <c r="F15" s="10" t="n">
        <v>162</v>
      </c>
      <c r="G15" s="11" t="inlineStr"/>
      <c r="H15" s="12" t="inlineStr"/>
    </row>
    <row r="16">
      <c r="A16" s="5" t="inlineStr">
        <is>
          <t>lab_autoeval.py</t>
        </is>
      </c>
      <c r="B16" s="10" t="inlineStr">
        <is>
          <t>공통</t>
        </is>
      </c>
      <c r="C16" s="5" t="inlineStr">
        <is>
          <t>_first_rank(res, gold)</t>
        </is>
      </c>
      <c r="D16" s="10" t="inlineStr">
        <is>
          <t>함수</t>
        </is>
      </c>
      <c r="E16" s="5" t="inlineStr"/>
      <c r="F16" s="10" t="n">
        <v>177</v>
      </c>
      <c r="G16" s="11" t="inlineStr"/>
      <c r="H16" s="12" t="inlineStr"/>
    </row>
    <row r="17">
      <c r="A17" s="20" t="inlineStr">
        <is>
          <t>lab_autoeval.py</t>
        </is>
      </c>
      <c r="B17" s="21" t="inlineStr">
        <is>
          <t>공통</t>
        </is>
      </c>
      <c r="C17" s="20" t="inlineStr">
        <is>
          <t>CRITERIA</t>
        </is>
      </c>
      <c r="D17" s="21" t="inlineStr">
        <is>
          <t>설정값</t>
        </is>
      </c>
      <c r="E17" s="20" t="inlineStr">
        <is>
          <t>목록 8 개</t>
        </is>
      </c>
      <c r="F17" s="21" t="n">
        <v>185</v>
      </c>
      <c r="G17" s="11" t="inlineStr"/>
      <c r="H17" s="12" t="inlineStr"/>
    </row>
    <row r="18">
      <c r="A18" s="5" t="inlineStr">
        <is>
          <t>lab_autoeval.py</t>
        </is>
      </c>
      <c r="B18" s="10" t="inlineStr">
        <is>
          <t>공통</t>
        </is>
      </c>
      <c r="C18" s="5" t="inlineStr">
        <is>
          <t>summarize(detail, by)</t>
        </is>
      </c>
      <c r="D18" s="10" t="inlineStr">
        <is>
          <t>함수</t>
        </is>
      </c>
      <c r="E18" s="5" t="inlineStr">
        <is>
          <t>평가 결과 요약 — 전체 · 그룹별 Recall@k · MRR.</t>
        </is>
      </c>
      <c r="F18" s="10" t="n">
        <v>197</v>
      </c>
      <c r="G18" s="11" t="inlineStr"/>
      <c r="H18" s="12" t="inlineStr"/>
    </row>
    <row r="19">
      <c r="A19" s="5" t="inlineStr">
        <is>
          <t>lab_autoeval.py</t>
        </is>
      </c>
      <c r="B19" s="10" t="inlineStr">
        <is>
          <t>공통</t>
        </is>
      </c>
      <c r="C19" s="5" t="inlineStr">
        <is>
          <t>sample_size_note(n)</t>
        </is>
      </c>
      <c r="D19" s="10" t="inlineStr">
        <is>
          <t>함수</t>
        </is>
      </c>
      <c r="E19" s="5" t="inlineStr">
        <is>
          <t>표본 수에 따른 오차 범위(95% 신뢰) — 해석 시 참고.</t>
        </is>
      </c>
      <c r="F19" s="10" t="n">
        <v>205</v>
      </c>
      <c r="G19" s="11" t="inlineStr"/>
      <c r="H19" s="12" t="inlineStr"/>
    </row>
    <row r="20">
      <c r="A20" s="20" t="inlineStr">
        <is>
          <t>lab_autoeval.py</t>
        </is>
      </c>
      <c r="B20" s="21" t="inlineStr">
        <is>
          <t>공통</t>
        </is>
      </c>
      <c r="C20" s="20" t="inlineStr">
        <is>
          <t>REVIEW_COLS</t>
        </is>
      </c>
      <c r="D20" s="21" t="inlineStr">
        <is>
          <t>설정값</t>
        </is>
      </c>
      <c r="E20" s="20" t="inlineStr">
        <is>
          <t>목록 12 개</t>
        </is>
      </c>
      <c r="F20" s="21" t="n">
        <v>214</v>
      </c>
      <c r="G20" s="11" t="inlineStr"/>
      <c r="H20" s="12" t="inlineStr"/>
    </row>
    <row r="21">
      <c r="A21" s="5" t="inlineStr">
        <is>
          <t>lab_autoeval.py</t>
        </is>
      </c>
      <c r="B21" s="10" t="inlineStr">
        <is>
          <t>공통</t>
        </is>
      </c>
      <c r="C21" s="5" t="inlineStr">
        <is>
          <t>to_review(sets)</t>
        </is>
      </c>
      <c r="D21" s="10" t="inlineStr">
        <is>
          <t>함수</t>
        </is>
      </c>
      <c r="E21" s="5" t="inlineStr">
        <is>
          <t>자동 생성 평가셋들 → 검수 시트(1_골든셋_검수) 붙여넣기용 DataFrame. sets: {이름: df}</t>
        </is>
      </c>
      <c r="F21" s="10" t="n">
        <v>218</v>
      </c>
      <c r="G21" s="11" t="inlineStr"/>
      <c r="H21" s="12" t="inlineStr"/>
    </row>
    <row r="22">
      <c r="A22" s="5" t="inlineStr">
        <is>
          <t>lab_autoeval.py</t>
        </is>
      </c>
      <c r="B22" s="10" t="inlineStr">
        <is>
          <t>공통</t>
        </is>
      </c>
      <c r="C22" s="5" t="inlineStr">
        <is>
          <t>from_review(reviewed, q_type_default)</t>
        </is>
      </c>
      <c r="D22" s="10" t="inlineStr">
        <is>
          <t>함수</t>
        </is>
      </c>
      <c r="E22" s="5" t="inlineStr">
        <is>
          <t>검수 완료 시트 → golden_v1.csv 구조. 채택 · 수정 후 채택만 남기고 수정값을 반영.</t>
        </is>
      </c>
      <c r="F22" s="10" t="n">
        <v>230</v>
      </c>
      <c r="G22" s="11" t="inlineStr"/>
      <c r="H22" s="12" t="inlineStr"/>
    </row>
    <row r="23">
      <c r="A23" s="5" t="inlineStr">
        <is>
          <t>lab_autoeval.py</t>
        </is>
      </c>
      <c r="B23" s="10" t="inlineStr">
        <is>
          <t>공통</t>
        </is>
      </c>
      <c r="C23" s="5" t="inlineStr">
        <is>
          <t>run_record(run_id, by_set, n_items, setting, **kw)</t>
        </is>
      </c>
      <c r="D23" s="10" t="inlineStr">
        <is>
          <t>함수</t>
        </is>
      </c>
      <c r="E23" s="5" t="inlineStr">
        <is>
          <t>평가 결과 → 3_평가_실행기록 한 행 (엑셀에 붙여넣기용).</t>
        </is>
      </c>
      <c r="F23" s="10" t="n">
        <v>243</v>
      </c>
      <c r="G23" s="11" t="inlineStr"/>
      <c r="H23" s="12" t="inlineStr"/>
    </row>
    <row r="24">
      <c r="A24" s="20" t="inlineStr">
        <is>
          <t>lab_autoeval.py</t>
        </is>
      </c>
      <c r="B24" s="21" t="inlineStr">
        <is>
          <t>공통</t>
        </is>
      </c>
      <c r="C24" s="20" t="inlineStr">
        <is>
          <t>LINK_COLS</t>
        </is>
      </c>
      <c r="D24" s="21" t="inlineStr">
        <is>
          <t>설정값</t>
        </is>
      </c>
      <c r="E24" s="20" t="inlineStr">
        <is>
          <t>목록 13 개</t>
        </is>
      </c>
      <c r="F24" s="21" t="n">
        <v>258</v>
      </c>
      <c r="G24" s="11" t="inlineStr"/>
      <c r="H24" s="12" t="inlineStr"/>
    </row>
    <row r="25">
      <c r="A25" s="5" t="inlineStr">
        <is>
          <t>lab_autoeval.py</t>
        </is>
      </c>
      <c r="B25" s="10" t="inlineStr">
        <is>
          <t>공통</t>
        </is>
      </c>
      <c r="C25" s="5" t="inlineStr">
        <is>
          <t>link_evidence(questions, search_fn, k, meta)</t>
        </is>
      </c>
      <c r="D25" s="10" t="inlineStr">
        <is>
          <t>함수</t>
        </is>
      </c>
      <c r="E25" s="5" t="inlineStr">
        <is>
          <t>질문 은행 → 코퍼스 근거 후보 제시 (사람이 확정할 표).</t>
        </is>
      </c>
      <c r="F25" s="10" t="n">
        <v>262</v>
      </c>
      <c r="G25" s="11" t="inlineStr"/>
      <c r="H25" s="12" t="inlineStr"/>
    </row>
    <row r="26">
      <c r="A26" s="5" t="inlineStr">
        <is>
          <t>lab_autoeval.py</t>
        </is>
      </c>
      <c r="B26" s="10" t="inlineStr">
        <is>
          <t>공통</t>
        </is>
      </c>
      <c r="C26" s="5" t="inlineStr">
        <is>
          <t>apply_evidence(linked, questions)</t>
        </is>
      </c>
      <c r="D26" s="10" t="inlineStr">
        <is>
          <t>함수</t>
        </is>
      </c>
      <c r="E26" s="5" t="inlineStr">
        <is>
          <t>근거 확정 결과 → 골든셋. '근거 확보' 행의 확정 doc_id · 정답 문장을 질문에 붙인다.</t>
        </is>
      </c>
      <c r="F26" s="10" t="n">
        <v>288</v>
      </c>
      <c r="G26" s="11" t="inlineStr"/>
      <c r="H26" s="12" t="inlineStr"/>
    </row>
    <row r="27">
      <c r="A27" s="5" t="inlineStr">
        <is>
          <t>lab_autoeval.py</t>
        </is>
      </c>
      <c r="B27" s="10" t="inlineStr">
        <is>
          <t>공통</t>
        </is>
      </c>
      <c r="C27" s="5" t="inlineStr">
        <is>
          <t>coverage_report(coverage)</t>
        </is>
      </c>
      <c r="D27" s="10" t="inlineStr">
        <is>
          <t>함수</t>
        </is>
      </c>
      <c r="E27" s="5" t="inlineStr">
        <is>
          <t>근거 확보율 — 검색 평가 대상 / 수집 공백 구분</t>
        </is>
      </c>
      <c r="F27" s="10" t="n">
        <v>306</v>
      </c>
      <c r="G27" s="11" t="inlineStr"/>
      <c r="H27" s="12" t="inlineStr"/>
    </row>
    <row r="28">
      <c r="A28" s="20" t="inlineStr">
        <is>
          <t>lab_config.py</t>
        </is>
      </c>
      <c r="B28" s="21" t="inlineStr">
        <is>
          <t>설정</t>
        </is>
      </c>
      <c r="C28" s="20" t="inlineStr">
        <is>
          <t>LAB_DIR</t>
        </is>
      </c>
      <c r="D28" s="21" t="inlineStr">
        <is>
          <t>설정값</t>
        </is>
      </c>
      <c r="E28" s="20" t="inlineStr">
        <is>
          <t>os.path.dirname(os.path.abspath(__file__))</t>
        </is>
      </c>
      <c r="F28" s="21" t="n">
        <v>13</v>
      </c>
      <c r="G28" s="11" t="inlineStr"/>
      <c r="H28" s="12" t="inlineStr"/>
    </row>
    <row r="29">
      <c r="A29" s="20" t="inlineStr">
        <is>
          <t>lab_config.py</t>
        </is>
      </c>
      <c r="B29" s="21" t="inlineStr">
        <is>
          <t>설정</t>
        </is>
      </c>
      <c r="C29" s="20" t="inlineStr">
        <is>
          <t>OUT_DIR</t>
        </is>
      </c>
      <c r="D29" s="21" t="inlineStr">
        <is>
          <t>설정값</t>
        </is>
      </c>
      <c r="E29" s="20" t="inlineStr">
        <is>
          <t>os.path.join(LAB_DIR, 'out')</t>
        </is>
      </c>
      <c r="F29" s="21" t="n">
        <v>14</v>
      </c>
      <c r="G29" s="11" t="inlineStr"/>
      <c r="H29" s="12" t="inlineStr"/>
    </row>
    <row r="30">
      <c r="A30" s="20" t="inlineStr">
        <is>
          <t>lab_config.py</t>
        </is>
      </c>
      <c r="B30" s="21" t="inlineStr">
        <is>
          <t>설정</t>
        </is>
      </c>
      <c r="C30" s="20" t="inlineStr">
        <is>
          <t>GOLDEN_DIR</t>
        </is>
      </c>
      <c r="D30" s="21" t="inlineStr">
        <is>
          <t>설정값</t>
        </is>
      </c>
      <c r="E30" s="20" t="inlineStr">
        <is>
          <t>os.path.join(LAB_DIR, 'golden')</t>
        </is>
      </c>
      <c r="F30" s="21" t="n">
        <v>15</v>
      </c>
      <c r="G30" s="11" t="inlineStr"/>
      <c r="H30" s="12" t="inlineStr"/>
    </row>
    <row r="31">
      <c r="A31" s="5" t="inlineStr">
        <is>
          <t>lab_config.py</t>
        </is>
      </c>
      <c r="B31" s="10" t="inlineStr">
        <is>
          <t>설정</t>
        </is>
      </c>
      <c r="C31" s="5" t="inlineStr">
        <is>
          <t>_load_env(path)</t>
        </is>
      </c>
      <c r="D31" s="10" t="inlineStr">
        <is>
          <t>함수</t>
        </is>
      </c>
      <c r="E31" s="5" t="inlineStr">
        <is>
          <t>python-dotenv 없이 .env 를 읽는다.</t>
        </is>
      </c>
      <c r="F31" s="10" t="n">
        <v>19</v>
      </c>
      <c r="G31" s="11" t="inlineStr"/>
      <c r="H31" s="12" t="inlineStr"/>
    </row>
    <row r="32">
      <c r="A32" s="20" t="inlineStr">
        <is>
          <t>lab_config.py</t>
        </is>
      </c>
      <c r="B32" s="21" t="inlineStr">
        <is>
          <t>설정</t>
        </is>
      </c>
      <c r="C32" s="20" t="inlineStr">
        <is>
          <t>LAB_MODE</t>
        </is>
      </c>
      <c r="D32" s="21" t="inlineStr">
        <is>
          <t>설정값</t>
        </is>
      </c>
      <c r="E32" s="20" t="inlineStr">
        <is>
          <t>sample | live</t>
        </is>
      </c>
      <c r="F32" s="21" t="n">
        <v>49</v>
      </c>
      <c r="G32" s="11" t="inlineStr"/>
      <c r="H32" s="12" t="inlineStr"/>
    </row>
    <row r="33">
      <c r="A33" s="20" t="inlineStr">
        <is>
          <t>lab_config.py</t>
        </is>
      </c>
      <c r="B33" s="21" t="inlineStr">
        <is>
          <t>설정</t>
        </is>
      </c>
      <c r="C33" s="20" t="inlineStr">
        <is>
          <t>IS_SAMPLE</t>
        </is>
      </c>
      <c r="D33" s="21" t="inlineStr">
        <is>
          <t>설정값</t>
        </is>
      </c>
      <c r="E33" s="20" t="inlineStr">
        <is>
          <t>LAB_MODE == 'sample'</t>
        </is>
      </c>
      <c r="F33" s="21" t="n">
        <v>50</v>
      </c>
      <c r="G33" s="11" t="inlineStr"/>
      <c r="H33" s="12" t="inlineStr"/>
    </row>
    <row r="34">
      <c r="A34" s="20" t="inlineStr">
        <is>
          <t>lab_config.py</t>
        </is>
      </c>
      <c r="B34" s="21" t="inlineStr">
        <is>
          <t>설정</t>
        </is>
      </c>
      <c r="C34" s="20" t="inlineStr">
        <is>
          <t>ORA_USER</t>
        </is>
      </c>
      <c r="D34" s="21" t="inlineStr">
        <is>
          <t>설정값</t>
        </is>
      </c>
      <c r="E34" s="20" t="inlineStr">
        <is>
          <t>env('ORA_USER')</t>
        </is>
      </c>
      <c r="F34" s="21" t="n">
        <v>53</v>
      </c>
      <c r="G34" s="11" t="inlineStr"/>
      <c r="H34" s="12" t="inlineStr"/>
    </row>
    <row r="35">
      <c r="A35" s="20" t="inlineStr">
        <is>
          <t>lab_config.py</t>
        </is>
      </c>
      <c r="B35" s="21" t="inlineStr">
        <is>
          <t>설정</t>
        </is>
      </c>
      <c r="C35" s="20" t="inlineStr">
        <is>
          <t>ORA_PASSWORD</t>
        </is>
      </c>
      <c r="D35" s="21" t="inlineStr">
        <is>
          <t>설정값</t>
        </is>
      </c>
      <c r="E35" s="20" t="inlineStr">
        <is>
          <t>env('ORA_PASSWORD')</t>
        </is>
      </c>
      <c r="F35" s="21" t="n">
        <v>54</v>
      </c>
      <c r="G35" s="11" t="inlineStr"/>
      <c r="H35" s="12" t="inlineStr"/>
    </row>
    <row r="36">
      <c r="A36" s="20" t="inlineStr">
        <is>
          <t>lab_config.py</t>
        </is>
      </c>
      <c r="B36" s="21" t="inlineStr">
        <is>
          <t>설정</t>
        </is>
      </c>
      <c r="C36" s="20" t="inlineStr">
        <is>
          <t>ORA_DSN</t>
        </is>
      </c>
      <c r="D36" s="21" t="inlineStr">
        <is>
          <t>설정값</t>
        </is>
      </c>
      <c r="E36" s="20" t="inlineStr">
        <is>
          <t>예: host:1521/SERVICE</t>
        </is>
      </c>
      <c r="F36" s="21" t="n">
        <v>55</v>
      </c>
      <c r="G36" s="11" t="inlineStr"/>
      <c r="H36" s="12" t="inlineStr"/>
    </row>
    <row r="37">
      <c r="A37" s="20" t="inlineStr">
        <is>
          <t>lab_config.py</t>
        </is>
      </c>
      <c r="B37" s="21" t="inlineStr">
        <is>
          <t>설정</t>
        </is>
      </c>
      <c r="C37" s="20" t="inlineStr">
        <is>
          <t>ORA_THICK_LIB</t>
        </is>
      </c>
      <c r="D37" s="21" t="inlineStr">
        <is>
          <t>설정값</t>
        </is>
      </c>
      <c r="E37" s="20" t="inlineStr">
        <is>
          <t>thick 모드가 필요할 때만 Instant Client 경로</t>
        </is>
      </c>
      <c r="F37" s="21" t="n">
        <v>56</v>
      </c>
      <c r="G37" s="11" t="inlineStr"/>
      <c r="H37" s="12" t="inlineStr"/>
    </row>
    <row r="38">
      <c r="A38" s="20" t="inlineStr">
        <is>
          <t>lab_config.py</t>
        </is>
      </c>
      <c r="B38" s="21" t="inlineStr">
        <is>
          <t>설정</t>
        </is>
      </c>
      <c r="C38" s="20" t="inlineStr">
        <is>
          <t>MILVUS_URI</t>
        </is>
      </c>
      <c r="D38" s="21" t="inlineStr">
        <is>
          <t>설정값</t>
        </is>
      </c>
      <c r="E38" s="20" t="inlineStr">
        <is>
          <t>env('MILVUS_URI', 'http://localhost:19530')</t>
        </is>
      </c>
      <c r="F38" s="21" t="n">
        <v>59</v>
      </c>
      <c r="G38" s="11" t="inlineStr"/>
      <c r="H38" s="12" t="inlineStr"/>
    </row>
    <row r="39">
      <c r="A39" s="20" t="inlineStr">
        <is>
          <t>lab_config.py</t>
        </is>
      </c>
      <c r="B39" s="21" t="inlineStr">
        <is>
          <t>설정</t>
        </is>
      </c>
      <c r="C39" s="20" t="inlineStr">
        <is>
          <t>MILVUS_TOKEN</t>
        </is>
      </c>
      <c r="D39" s="21" t="inlineStr">
        <is>
          <t>설정값</t>
        </is>
      </c>
      <c r="E39" s="20" t="inlineStr">
        <is>
          <t>env('MILVUS_TOKEN', '')</t>
        </is>
      </c>
      <c r="F39" s="21" t="n">
        <v>60</v>
      </c>
      <c r="G39" s="11" t="inlineStr"/>
      <c r="H39" s="12" t="inlineStr"/>
    </row>
    <row r="40">
      <c r="A40" s="20" t="inlineStr">
        <is>
          <t>lab_config.py</t>
        </is>
      </c>
      <c r="B40" s="21" t="inlineStr">
        <is>
          <t>설정</t>
        </is>
      </c>
      <c r="C40" s="20" t="inlineStr">
        <is>
          <t>MILVUS_COLLECTION</t>
        </is>
      </c>
      <c r="D40" s="21" t="inlineStr">
        <is>
          <t>설정값</t>
        </is>
      </c>
      <c r="E40" s="20" t="inlineStr">
        <is>
          <t>env('MILVUS_COLLECTION', 'rag_chunks')</t>
        </is>
      </c>
      <c r="F40" s="21" t="n">
        <v>61</v>
      </c>
      <c r="G40" s="11" t="inlineStr"/>
      <c r="H40" s="12" t="inlineStr"/>
    </row>
    <row r="41">
      <c r="A41" s="20" t="inlineStr">
        <is>
          <t>lab_config.py</t>
        </is>
      </c>
      <c r="B41" s="21" t="inlineStr">
        <is>
          <t>설정</t>
        </is>
      </c>
      <c r="C41" s="20" t="inlineStr">
        <is>
          <t>EMBED_MODE</t>
        </is>
      </c>
      <c r="D41" s="21" t="inlineStr">
        <is>
          <t>설정값</t>
        </is>
      </c>
      <c r="E41" s="20" t="inlineStr">
        <is>
          <t>local(FlagEmbedding) | api(OpenAI 호환) | sample</t>
        </is>
      </c>
      <c r="F41" s="21" t="n">
        <v>64</v>
      </c>
      <c r="G41" s="11" t="inlineStr"/>
      <c r="H41" s="12" t="inlineStr"/>
    </row>
    <row r="42">
      <c r="A42" s="20" t="inlineStr">
        <is>
          <t>lab_config.py</t>
        </is>
      </c>
      <c r="B42" s="21" t="inlineStr">
        <is>
          <t>설정</t>
        </is>
      </c>
      <c r="C42" s="20" t="inlineStr">
        <is>
          <t>BGE_M3_PATH</t>
        </is>
      </c>
      <c r="D42" s="21" t="inlineStr">
        <is>
          <t>설정값</t>
        </is>
      </c>
      <c r="E42" s="20" t="inlineStr">
        <is>
          <t>local 모드: 모델 폴더</t>
        </is>
      </c>
      <c r="F42" s="21" t="n">
        <v>65</v>
      </c>
      <c r="G42" s="11" t="inlineStr"/>
      <c r="H42" s="12" t="inlineStr"/>
    </row>
    <row r="43">
      <c r="A43" s="20" t="inlineStr">
        <is>
          <t>lab_config.py</t>
        </is>
      </c>
      <c r="B43" s="21" t="inlineStr">
        <is>
          <t>설정</t>
        </is>
      </c>
      <c r="C43" s="20" t="inlineStr">
        <is>
          <t>EMBED_URL</t>
        </is>
      </c>
      <c r="D43" s="21" t="inlineStr">
        <is>
          <t>설정값</t>
        </is>
      </c>
      <c r="E43" s="20" t="inlineStr">
        <is>
          <t>api 모드: .../v1/embeddings</t>
        </is>
      </c>
      <c r="F43" s="21" t="n">
        <v>66</v>
      </c>
      <c r="G43" s="11" t="inlineStr"/>
      <c r="H43" s="12" t="inlineStr"/>
    </row>
    <row r="44">
      <c r="A44" s="20" t="inlineStr">
        <is>
          <t>lab_config.py</t>
        </is>
      </c>
      <c r="B44" s="21" t="inlineStr">
        <is>
          <t>설정</t>
        </is>
      </c>
      <c r="C44" s="20" t="inlineStr">
        <is>
          <t>EMBED_MODEL</t>
        </is>
      </c>
      <c r="D44" s="21" t="inlineStr">
        <is>
          <t>설정값</t>
        </is>
      </c>
      <c r="E44" s="20" t="inlineStr">
        <is>
          <t>env('EMBED_MODEL', 'bge-m3')</t>
        </is>
      </c>
      <c r="F44" s="21" t="n">
        <v>67</v>
      </c>
      <c r="G44" s="11" t="inlineStr"/>
      <c r="H44" s="12" t="inlineStr"/>
    </row>
    <row r="45">
      <c r="A45" s="20" t="inlineStr">
        <is>
          <t>lab_config.py</t>
        </is>
      </c>
      <c r="B45" s="21" t="inlineStr">
        <is>
          <t>설정</t>
        </is>
      </c>
      <c r="C45" s="20" t="inlineStr">
        <is>
          <t>EMBED_MAX_LENGTH</t>
        </is>
      </c>
      <c r="D45" s="21" t="inlineStr">
        <is>
          <t>설정값</t>
        </is>
      </c>
      <c r="E45" s="20" t="inlineStr">
        <is>
          <t>현재 설정값을 그대로 적는다 (S04-1 점검용)</t>
        </is>
      </c>
      <c r="F45" s="21" t="n">
        <v>68</v>
      </c>
      <c r="G45" s="11" t="inlineStr"/>
      <c r="H45" s="12" t="inlineStr"/>
    </row>
    <row r="46">
      <c r="A46" s="20" t="inlineStr">
        <is>
          <t>lab_config.py</t>
        </is>
      </c>
      <c r="B46" s="21" t="inlineStr">
        <is>
          <t>설정</t>
        </is>
      </c>
      <c r="C46" s="20" t="inlineStr">
        <is>
          <t>RERANK_MODE</t>
        </is>
      </c>
      <c r="D46" s="21" t="inlineStr">
        <is>
          <t>설정값</t>
        </is>
      </c>
      <c r="E46" s="20" t="inlineStr">
        <is>
          <t>local | api | none | sample</t>
        </is>
      </c>
      <c r="F46" s="21" t="n">
        <v>70</v>
      </c>
      <c r="G46" s="11" t="inlineStr"/>
      <c r="H46" s="12" t="inlineStr"/>
    </row>
    <row r="47">
      <c r="A47" s="20" t="inlineStr">
        <is>
          <t>lab_config.py</t>
        </is>
      </c>
      <c r="B47" s="21" t="inlineStr">
        <is>
          <t>설정</t>
        </is>
      </c>
      <c r="C47" s="20" t="inlineStr">
        <is>
          <t>RERANK_PATH</t>
        </is>
      </c>
      <c r="D47" s="21" t="inlineStr">
        <is>
          <t>설정값</t>
        </is>
      </c>
      <c r="E47" s="20" t="inlineStr">
        <is>
          <t>env('RERANK_PATH', '')</t>
        </is>
      </c>
      <c r="F47" s="21" t="n">
        <v>71</v>
      </c>
      <c r="G47" s="11" t="inlineStr"/>
      <c r="H47" s="12" t="inlineStr"/>
    </row>
    <row r="48">
      <c r="A48" s="20" t="inlineStr">
        <is>
          <t>lab_config.py</t>
        </is>
      </c>
      <c r="B48" s="21" t="inlineStr">
        <is>
          <t>설정</t>
        </is>
      </c>
      <c r="C48" s="20" t="inlineStr">
        <is>
          <t>RERANK_URL</t>
        </is>
      </c>
      <c r="D48" s="21" t="inlineStr">
        <is>
          <t>설정값</t>
        </is>
      </c>
      <c r="E48" s="20" t="inlineStr">
        <is>
          <t>env('RERANK_URL', '')</t>
        </is>
      </c>
      <c r="F48" s="21" t="n">
        <v>72</v>
      </c>
      <c r="G48" s="11" t="inlineStr"/>
      <c r="H48" s="12" t="inlineStr"/>
    </row>
    <row r="49">
      <c r="A49" s="5" t="inlineStr">
        <is>
          <t>lab_config.py</t>
        </is>
      </c>
      <c r="B49" s="10" t="inlineStr">
        <is>
          <t>설정</t>
        </is>
      </c>
      <c r="C49" s="5" t="inlineStr">
        <is>
          <t>_endpoint(url, tail)</t>
        </is>
      </c>
      <c r="D49" s="10" t="inlineStr">
        <is>
          <t>함수</t>
        </is>
      </c>
      <c r="E49" s="5" t="inlineStr">
        <is>
          <t>엔드포인트 끝 경로를 맞춘다 — 베이스 URL 만 적어도 동작하게.</t>
        </is>
      </c>
      <c r="F49" s="10" t="n">
        <v>74</v>
      </c>
      <c r="G49" s="11" t="inlineStr"/>
      <c r="H49" s="12" t="inlineStr"/>
    </row>
    <row r="50">
      <c r="A50" s="20" t="inlineStr">
        <is>
          <t>lab_config.py</t>
        </is>
      </c>
      <c r="B50" s="21" t="inlineStr">
        <is>
          <t>설정</t>
        </is>
      </c>
      <c r="C50" s="20" t="inlineStr">
        <is>
          <t>EMBED_URL</t>
        </is>
      </c>
      <c r="D50" s="21" t="inlineStr">
        <is>
          <t>설정값</t>
        </is>
      </c>
      <c r="E50" s="20" t="inlineStr">
        <is>
          <t>_endpoint(EMBED_URL, 'embeddings')</t>
        </is>
      </c>
      <c r="F50" s="21" t="n">
        <v>86</v>
      </c>
      <c r="G50" s="11" t="inlineStr"/>
      <c r="H50" s="12" t="inlineStr"/>
    </row>
    <row r="51">
      <c r="A51" s="20" t="inlineStr">
        <is>
          <t>lab_config.py</t>
        </is>
      </c>
      <c r="B51" s="21" t="inlineStr">
        <is>
          <t>설정</t>
        </is>
      </c>
      <c r="C51" s="20" t="inlineStr">
        <is>
          <t>EMBED_API_KEY</t>
        </is>
      </c>
      <c r="D51" s="21" t="inlineStr">
        <is>
          <t>설정값</t>
        </is>
      </c>
      <c r="E51" s="20" t="inlineStr">
        <is>
          <t>비우면 LLM_API_KEY 를 쓴다</t>
        </is>
      </c>
      <c r="F51" s="21" t="n">
        <v>87</v>
      </c>
      <c r="G51" s="11" t="inlineStr"/>
      <c r="H51" s="12" t="inlineStr"/>
    </row>
    <row r="52">
      <c r="A52" s="20" t="inlineStr">
        <is>
          <t>lab_config.py</t>
        </is>
      </c>
      <c r="B52" s="21" t="inlineStr">
        <is>
          <t>설정</t>
        </is>
      </c>
      <c r="C52" s="20" t="inlineStr">
        <is>
          <t>EMBED_BATCH</t>
        </is>
      </c>
      <c r="D52" s="21" t="inlineStr">
        <is>
          <t>설정값</t>
        </is>
      </c>
      <c r="E52" s="20" t="inlineStr">
        <is>
          <t>한 요청에 보낼 문장 수</t>
        </is>
      </c>
      <c r="F52" s="21" t="n">
        <v>89</v>
      </c>
      <c r="G52" s="11" t="inlineStr"/>
      <c r="H52" s="12" t="inlineStr"/>
    </row>
    <row r="53">
      <c r="A53" s="20" t="inlineStr">
        <is>
          <t>lab_config.py</t>
        </is>
      </c>
      <c r="B53" s="21" t="inlineStr">
        <is>
          <t>설정</t>
        </is>
      </c>
      <c r="C53" s="20" t="inlineStr">
        <is>
          <t>EMBED_RPM</t>
        </is>
      </c>
      <c r="D53" s="21" t="inlineStr">
        <is>
          <t>설정값</t>
        </is>
      </c>
      <c r="E53" s="20" t="inlineStr">
        <is>
          <t>분당 요청 수 제한 (0 = 제한 없음 · 무료 키는 5~15 권장)</t>
        </is>
      </c>
      <c r="F53" s="21" t="n">
        <v>90</v>
      </c>
      <c r="G53" s="11" t="inlineStr"/>
      <c r="H53" s="12" t="inlineStr"/>
    </row>
    <row r="54">
      <c r="A54" s="20" t="inlineStr">
        <is>
          <t>lab_config.py</t>
        </is>
      </c>
      <c r="B54" s="21" t="inlineStr">
        <is>
          <t>설정</t>
        </is>
      </c>
      <c r="C54" s="20" t="inlineStr">
        <is>
          <t>EMBED_CACHE</t>
        </is>
      </c>
      <c r="D54" s="21" t="inlineStr">
        <is>
          <t>설정값</t>
        </is>
      </c>
      <c r="E54" s="20" t="inlineStr">
        <is>
          <t>같은 문장은 다시 호출하지 않는다</t>
        </is>
      </c>
      <c r="F54" s="21" t="n">
        <v>91</v>
      </c>
      <c r="G54" s="11" t="inlineStr"/>
      <c r="H54" s="12" t="inlineStr"/>
    </row>
    <row r="55">
      <c r="A55" s="20" t="inlineStr">
        <is>
          <t>lab_config.py</t>
        </is>
      </c>
      <c r="B55" s="21" t="inlineStr">
        <is>
          <t>설정</t>
        </is>
      </c>
      <c r="C55" s="20" t="inlineStr">
        <is>
          <t>LLM_URL</t>
        </is>
      </c>
      <c r="D55" s="21" t="inlineStr">
        <is>
          <t>설정값</t>
        </is>
      </c>
      <c r="E55" s="20" t="inlineStr">
        <is>
          <t>.../v1/chat/completions (OpenAI 호환)</t>
        </is>
      </c>
      <c r="F55" s="21" t="n">
        <v>93</v>
      </c>
      <c r="G55" s="11" t="inlineStr"/>
      <c r="H55" s="12" t="inlineStr"/>
    </row>
    <row r="56">
      <c r="A56" s="20" t="inlineStr">
        <is>
          <t>lab_config.py</t>
        </is>
      </c>
      <c r="B56" s="21" t="inlineStr">
        <is>
          <t>설정</t>
        </is>
      </c>
      <c r="C56" s="20" t="inlineStr">
        <is>
          <t>LLM_MODEL</t>
        </is>
      </c>
      <c r="D56" s="21" t="inlineStr">
        <is>
          <t>설정값</t>
        </is>
      </c>
      <c r="E56" s="20" t="inlineStr">
        <is>
          <t>env('LLM_MODEL', '')</t>
        </is>
      </c>
      <c r="F56" s="21" t="n">
        <v>94</v>
      </c>
      <c r="G56" s="11" t="inlineStr"/>
      <c r="H56" s="12" t="inlineStr"/>
    </row>
    <row r="57">
      <c r="A57" s="20" t="inlineStr">
        <is>
          <t>lab_config.py</t>
        </is>
      </c>
      <c r="B57" s="21" t="inlineStr">
        <is>
          <t>설정</t>
        </is>
      </c>
      <c r="C57" s="20" t="inlineStr">
        <is>
          <t>LLM_API_KEY</t>
        </is>
      </c>
      <c r="D57" s="21" t="inlineStr">
        <is>
          <t>설정값</t>
        </is>
      </c>
      <c r="E57" s="20" t="inlineStr">
        <is>
          <t>env('LLM_API_KEY', 'none')</t>
        </is>
      </c>
      <c r="F57" s="21" t="n">
        <v>95</v>
      </c>
      <c r="G57" s="11" t="inlineStr"/>
      <c r="H57" s="12" t="inlineStr"/>
    </row>
    <row r="58">
      <c r="A58" s="20" t="inlineStr">
        <is>
          <t>lab_config.py</t>
        </is>
      </c>
      <c r="B58" s="21" t="inlineStr">
        <is>
          <t>설정</t>
        </is>
      </c>
      <c r="C58" s="20" t="inlineStr">
        <is>
          <t>LLM_RPM</t>
        </is>
      </c>
      <c r="D58" s="21" t="inlineStr">
        <is>
          <t>설정값</t>
        </is>
      </c>
      <c r="E58" s="20" t="inlineStr">
        <is>
          <t>분당 호출 수 제한 (0 = 제한 없음 · 무료 키는 10 권장)</t>
        </is>
      </c>
      <c r="F58" s="21" t="n">
        <v>96</v>
      </c>
      <c r="G58" s="11" t="inlineStr"/>
      <c r="H58" s="12" t="inlineStr"/>
    </row>
    <row r="59">
      <c r="A59" s="20" t="inlineStr">
        <is>
          <t>lab_config.py</t>
        </is>
      </c>
      <c r="B59" s="21" t="inlineStr">
        <is>
          <t>설정</t>
        </is>
      </c>
      <c r="C59" s="20" t="inlineStr">
        <is>
          <t>LLM_RETRY</t>
        </is>
      </c>
      <c r="D59" s="21" t="inlineStr">
        <is>
          <t>설정값</t>
        </is>
      </c>
      <c r="E59" s="20" t="inlineStr">
        <is>
          <t>429 · 5xx 재시도 횟수</t>
        </is>
      </c>
      <c r="F59" s="21" t="n">
        <v>97</v>
      </c>
      <c r="G59" s="11" t="inlineStr"/>
      <c r="H59" s="12" t="inlineStr"/>
    </row>
    <row r="60">
      <c r="A60" s="20" t="inlineStr">
        <is>
          <t>lab_config.py</t>
        </is>
      </c>
      <c r="B60" s="21" t="inlineStr">
        <is>
          <t>설정</t>
        </is>
      </c>
      <c r="C60" s="20" t="inlineStr">
        <is>
          <t>LLM_URL</t>
        </is>
      </c>
      <c r="D60" s="21" t="inlineStr">
        <is>
          <t>설정값</t>
        </is>
      </c>
      <c r="E60" s="20" t="inlineStr">
        <is>
          <t>_endpoint(LLM_URL, 'chat/completions')</t>
        </is>
      </c>
      <c r="F60" s="21" t="n">
        <v>98</v>
      </c>
      <c r="G60" s="11" t="inlineStr"/>
      <c r="H60" s="12" t="inlineStr"/>
    </row>
    <row r="61">
      <c r="A61" s="20" t="inlineStr">
        <is>
          <t>lab_config.py</t>
        </is>
      </c>
      <c r="B61" s="21" t="inlineStr">
        <is>
          <t>설정</t>
        </is>
      </c>
      <c r="C61" s="20" t="inlineStr">
        <is>
          <t>RERANK_API_KEY</t>
        </is>
      </c>
      <c r="D61" s="21" t="inlineStr">
        <is>
          <t>설정값</t>
        </is>
      </c>
      <c r="E61" s="20" t="inlineStr">
        <is>
          <t>env('RERANK_API_KEY', '') or LLM_API_KEY</t>
        </is>
      </c>
      <c r="F61" s="21" t="n">
        <v>101</v>
      </c>
      <c r="G61" s="11" t="inlineStr"/>
      <c r="H61" s="12" t="inlineStr"/>
    </row>
    <row r="62">
      <c r="A62" s="20" t="inlineStr">
        <is>
          <t>lab_config.py</t>
        </is>
      </c>
      <c r="B62" s="21" t="inlineStr">
        <is>
          <t>설정</t>
        </is>
      </c>
      <c r="C62" s="20" t="inlineStr">
        <is>
          <t>SEARCH_API_URL</t>
        </is>
      </c>
      <c r="D62" s="21" t="inlineStr">
        <is>
          <t>설정값</t>
        </is>
      </c>
      <c r="E62" s="20" t="inlineStr">
        <is>
          <t>env('SEARCH_API_URL', '')</t>
        </is>
      </c>
      <c r="F62" s="21" t="n">
        <v>104</v>
      </c>
      <c r="G62" s="11" t="inlineStr"/>
      <c r="H62" s="12" t="inlineStr"/>
    </row>
    <row r="63">
      <c r="A63" s="20" t="inlineStr">
        <is>
          <t>lab_config.py</t>
        </is>
      </c>
      <c r="B63" s="21" t="inlineStr">
        <is>
          <t>설정</t>
        </is>
      </c>
      <c r="C63" s="20" t="inlineStr">
        <is>
          <t>SEARCH_API_TOKEN</t>
        </is>
      </c>
      <c r="D63" s="21" t="inlineStr">
        <is>
          <t>설정값</t>
        </is>
      </c>
      <c r="E63" s="20" t="inlineStr">
        <is>
          <t>env('SEARCH_API_TOKEN', '')</t>
        </is>
      </c>
      <c r="F63" s="21" t="n">
        <v>105</v>
      </c>
      <c r="G63" s="11" t="inlineStr"/>
      <c r="H63" s="12" t="inlineStr"/>
    </row>
    <row r="64">
      <c r="A64" s="20" t="inlineStr">
        <is>
          <t>lab_config.py</t>
        </is>
      </c>
      <c r="B64" s="21" t="inlineStr">
        <is>
          <t>설정</t>
        </is>
      </c>
      <c r="C64" s="20" t="inlineStr">
        <is>
          <t>SAMPLE_MODELS</t>
        </is>
      </c>
      <c r="D64" s="21" t="inlineStr">
        <is>
          <t>설정값</t>
        </is>
      </c>
      <c r="E64" s="20" t="inlineStr">
        <is>
          <t>env('SAMPLE_MODELS', 'false').lower() == 'true'</t>
        </is>
      </c>
      <c r="F64" s="21" t="n">
        <v>110</v>
      </c>
      <c r="G64" s="11" t="inlineStr"/>
      <c r="H64" s="12" t="inlineStr"/>
    </row>
    <row r="65">
      <c r="A65" s="20" t="inlineStr">
        <is>
          <t>lab_config.py</t>
        </is>
      </c>
      <c r="B65" s="21" t="inlineStr">
        <is>
          <t>설정</t>
        </is>
      </c>
      <c r="C65" s="20" t="inlineStr">
        <is>
          <t>SAMPLE_SET</t>
        </is>
      </c>
      <c r="D65" s="21" t="inlineStr">
        <is>
          <t>설정값</t>
        </is>
      </c>
      <c r="E65" s="20" t="inlineStr">
        <is>
          <t>env('SAMPLE_SET', '100')</t>
        </is>
      </c>
      <c r="F65" s="21" t="n">
        <v>112</v>
      </c>
      <c r="G65" s="11" t="inlineStr"/>
      <c r="H65" s="12" t="inlineStr"/>
    </row>
    <row r="66">
      <c r="A66" s="20" t="inlineStr">
        <is>
          <t>lab_config.py</t>
        </is>
      </c>
      <c r="B66" s="21" t="inlineStr">
        <is>
          <t>설정</t>
        </is>
      </c>
      <c r="C66" s="20" t="inlineStr">
        <is>
          <t>USE_LLM</t>
        </is>
      </c>
      <c r="D66" s="21" t="inlineStr">
        <is>
          <t>설정값</t>
        </is>
      </c>
      <c r="E66" s="20" t="inlineStr">
        <is>
          <t>bool(LLM_URL) and (not IS_SAMPLE or SAMPLE_MODELS)</t>
        </is>
      </c>
      <c r="F66" s="21" t="n">
        <v>117</v>
      </c>
      <c r="G66" s="11" t="inlineStr"/>
      <c r="H66" s="12" t="inlineStr"/>
    </row>
    <row r="67">
      <c r="A67" s="20" t="inlineStr">
        <is>
          <t>lab_config.py</t>
        </is>
      </c>
      <c r="B67" s="21" t="inlineStr">
        <is>
          <t>설정</t>
        </is>
      </c>
      <c r="C67" s="20" t="inlineStr">
        <is>
          <t>HTTP_TIMEOUT</t>
        </is>
      </c>
      <c r="D67" s="21" t="inlineStr">
        <is>
          <t>설정값</t>
        </is>
      </c>
      <c r="E67" s="20" t="inlineStr">
        <is>
          <t>int(env('HTTP_TIMEOUT', '60'))</t>
        </is>
      </c>
      <c r="F67" s="21" t="n">
        <v>119</v>
      </c>
      <c r="G67" s="11" t="inlineStr"/>
      <c r="H67" s="12" t="inlineStr"/>
    </row>
    <row r="68">
      <c r="A68" s="20" t="inlineStr">
        <is>
          <t>lab_config.py</t>
        </is>
      </c>
      <c r="B68" s="21" t="inlineStr">
        <is>
          <t>설정</t>
        </is>
      </c>
      <c r="C68" s="20" t="inlineStr">
        <is>
          <t>VERIFY_SSL</t>
        </is>
      </c>
      <c r="D68" s="21" t="inlineStr">
        <is>
          <t>설정값</t>
        </is>
      </c>
      <c r="E68" s="20" t="inlineStr">
        <is>
          <t>env('VERIFY_SSL', 'false').lower() == 'true'</t>
        </is>
      </c>
      <c r="F68" s="21" t="n">
        <v>120</v>
      </c>
      <c r="G68" s="11" t="inlineStr"/>
      <c r="H68" s="12" t="inlineStr"/>
    </row>
    <row r="69">
      <c r="A69" s="20" t="inlineStr">
        <is>
          <t>lab_config.py</t>
        </is>
      </c>
      <c r="B69" s="21" t="inlineStr">
        <is>
          <t>설정</t>
        </is>
      </c>
      <c r="C69" s="20" t="inlineStr">
        <is>
          <t>RAW</t>
        </is>
      </c>
      <c r="D69" s="21" t="inlineStr">
        <is>
          <t>설정값</t>
        </is>
      </c>
      <c r="E69" s="20" t="inlineStr">
        <is>
          <t>dict(table='RAG_RAW_DOC', doc_id='DOC_ID', doc_type='DOC_TYPE', title=</t>
        </is>
      </c>
      <c r="F69" s="21" t="n">
        <v>137</v>
      </c>
      <c r="G69" s="11" t="inlineStr"/>
      <c r="H69" s="12" t="inlineStr"/>
    </row>
    <row r="70">
      <c r="A70" s="20" t="inlineStr">
        <is>
          <t>lab_config.py</t>
        </is>
      </c>
      <c r="B70" s="21" t="inlineStr">
        <is>
          <t>설정</t>
        </is>
      </c>
      <c r="C70" s="20" t="inlineStr">
        <is>
          <t>CHUNK</t>
        </is>
      </c>
      <c r="D70" s="21" t="inlineStr">
        <is>
          <t>설정값</t>
        </is>
      </c>
      <c r="E70" s="20" t="inlineStr">
        <is>
          <t>dict(table='RAG_CHUNK', chunk_id='CHUNK_ID', doc_id='DOC_ID', seq='CHU</t>
        </is>
      </c>
      <c r="F70" s="21" t="n">
        <v>151</v>
      </c>
      <c r="G70" s="11" t="inlineStr"/>
      <c r="H70" s="12" t="inlineStr"/>
    </row>
    <row r="71">
      <c r="A71" s="20" t="inlineStr">
        <is>
          <t>lab_config.py</t>
        </is>
      </c>
      <c r="B71" s="21" t="inlineStr">
        <is>
          <t>설정</t>
        </is>
      </c>
      <c r="C71" s="20" t="inlineStr">
        <is>
          <t>DOC_TYPE_MAP</t>
        </is>
      </c>
      <c r="D71" s="21" t="inlineStr">
        <is>
          <t>설정값</t>
        </is>
      </c>
      <c r="E71" s="20" t="inlineStr">
        <is>
          <t>사내 코드 → 유형 코드</t>
        </is>
      </c>
      <c r="F71" s="21" t="n">
        <v>174</v>
      </c>
      <c r="G71" s="11" t="inlineStr"/>
      <c r="H71" s="12" t="inlineStr"/>
    </row>
    <row r="72">
      <c r="A72" s="20" t="inlineStr">
        <is>
          <t>lab_config.py</t>
        </is>
      </c>
      <c r="B72" s="21" t="inlineStr">
        <is>
          <t>설정</t>
        </is>
      </c>
      <c r="C72" s="20" t="inlineStr">
        <is>
          <t>DOC_TYPE_KO</t>
        </is>
      </c>
      <c r="D72" s="21" t="inlineStr">
        <is>
          <t>설정값</t>
        </is>
      </c>
      <c r="E72" s="20" t="inlineStr">
        <is>
          <t>유형 코드 → 표기 이름</t>
        </is>
      </c>
      <c r="F72" s="21" t="n">
        <v>175</v>
      </c>
      <c r="G72" s="11" t="inlineStr"/>
      <c r="H72" s="12" t="inlineStr"/>
    </row>
    <row r="73">
      <c r="A73" s="20" t="inlineStr">
        <is>
          <t>lab_config.py</t>
        </is>
      </c>
      <c r="B73" s="21" t="inlineStr">
        <is>
          <t>설정</t>
        </is>
      </c>
      <c r="C73" s="20" t="inlineStr">
        <is>
          <t>SEARCH_API</t>
        </is>
      </c>
      <c r="D73" s="21" t="inlineStr">
        <is>
          <t>설정값</t>
        </is>
      </c>
      <c r="E73" s="20" t="inlineStr">
        <is>
          <t>dict(request=lambda q, k: {'query': q, 'top_k': k}, results_key='resul</t>
        </is>
      </c>
      <c r="F73" s="21" t="n">
        <v>178</v>
      </c>
      <c r="G73" s="11" t="inlineStr"/>
      <c r="H73" s="12" t="inlineStr"/>
    </row>
    <row r="74">
      <c r="A74" s="5" t="inlineStr">
        <is>
          <t>lab_config.py</t>
        </is>
      </c>
      <c r="B74" s="10" t="inlineStr">
        <is>
          <t>설정</t>
        </is>
      </c>
      <c r="C74" s="5" t="inlineStr">
        <is>
          <t>summary()</t>
        </is>
      </c>
      <c r="D74" s="10" t="inlineStr">
        <is>
          <t>함수</t>
        </is>
      </c>
      <c r="E74" s="5" t="inlineStr">
        <is>
          <t>현재 설정을 한눈에 (비밀값은 가림).</t>
        </is>
      </c>
      <c r="F74" s="10" t="n">
        <v>186</v>
      </c>
      <c r="G74" s="11" t="inlineStr"/>
      <c r="H74" s="12" t="inlineStr"/>
    </row>
    <row r="75">
      <c r="A75" s="5" t="inlineStr">
        <is>
          <t>lab_eval.py</t>
        </is>
      </c>
      <c r="B75" s="10" t="inlineStr">
        <is>
          <t>공통</t>
        </is>
      </c>
      <c r="C75" s="5" t="inlineStr">
        <is>
          <t>_grams(t, n)</t>
        </is>
      </c>
      <c r="D75" s="10" t="inlineStr">
        <is>
          <t>함수</t>
        </is>
      </c>
      <c r="E75" s="5" t="inlineStr"/>
      <c r="F75" s="10" t="n">
        <v>13</v>
      </c>
      <c r="G75" s="11" t="inlineStr"/>
      <c r="H75" s="12" t="inlineStr"/>
    </row>
    <row r="76">
      <c r="A76" s="5" t="inlineStr">
        <is>
          <t>lab_eval.py</t>
        </is>
      </c>
      <c r="B76" s="10" t="inlineStr">
        <is>
          <t>공통</t>
        </is>
      </c>
      <c r="C76" s="5" t="inlineStr">
        <is>
          <t>overlap(gold_text, chunk_text)</t>
        </is>
      </c>
      <c r="D76" s="10" t="inlineStr">
        <is>
          <t>함수</t>
        </is>
      </c>
      <c r="E76" s="5" t="inlineStr">
        <is>
          <t>정답 문장 3-gram 중 청크에 들어 있는 비율 (0~1).</t>
        </is>
      </c>
      <c r="F76" s="10" t="n">
        <v>18</v>
      </c>
      <c r="G76" s="11" t="inlineStr"/>
      <c r="H76" s="12" t="inlineStr"/>
    </row>
    <row r="77">
      <c r="A77" s="5" t="inlineStr">
        <is>
          <t>lab_eval.py</t>
        </is>
      </c>
      <c r="B77" s="10" t="inlineStr">
        <is>
          <t>공통</t>
        </is>
      </c>
      <c r="C77" s="5" t="inlineStr">
        <is>
          <t>judge(results, gold_doc_ids, gold_text, th)</t>
        </is>
      </c>
      <c r="D77" s="10" t="inlineStr">
        <is>
          <t>함수</t>
        </is>
      </c>
      <c r="E77" s="5" t="inlineStr">
        <is>
          <t>결과 각 행의 적중 여부(0/1) 목록.</t>
        </is>
      </c>
      <c r="F77" s="10" t="n">
        <v>24</v>
      </c>
      <c r="G77" s="11" t="inlineStr"/>
      <c r="H77" s="12" t="inlineStr"/>
    </row>
    <row r="78">
      <c r="A78" s="5" t="inlineStr">
        <is>
          <t>lab_eval.py</t>
        </is>
      </c>
      <c r="B78" s="10" t="inlineStr">
        <is>
          <t>공통</t>
        </is>
      </c>
      <c r="C78" s="5" t="inlineStr">
        <is>
          <t>metrics(rel, results, gold_doc_ids, ks)</t>
        </is>
      </c>
      <c r="D78" s="10" t="inlineStr">
        <is>
          <t>함수</t>
        </is>
      </c>
      <c r="E78" s="5" t="inlineStr"/>
      <c r="F78" s="10" t="n">
        <v>34</v>
      </c>
      <c r="G78" s="11" t="inlineStr"/>
      <c r="H78" s="12" t="inlineStr"/>
    </row>
    <row r="79">
      <c r="A79" s="5" t="inlineStr">
        <is>
          <t>lab_eval.py</t>
        </is>
      </c>
      <c r="B79" s="10" t="inlineStr">
        <is>
          <t>공통</t>
        </is>
      </c>
      <c r="C79" s="5" t="inlineStr">
        <is>
          <t>evaluate(search_fn, golden, modes, k, th, verbose)</t>
        </is>
      </c>
      <c r="D79" s="10" t="inlineStr">
        <is>
          <t>함수</t>
        </is>
      </c>
      <c r="E79" s="5" t="inlineStr">
        <is>
          <t>search_fn(question, mode, k) → 결과 DataFrame(rank, chunk_id, doc_id, text ...)</t>
        </is>
      </c>
      <c r="F79" s="10" t="n">
        <v>52</v>
      </c>
      <c r="G79" s="11" t="inlineStr"/>
      <c r="H79" s="12" t="inlineStr"/>
    </row>
    <row r="80">
      <c r="A80" s="5" t="inlineStr">
        <is>
          <t>lab_eval.py</t>
        </is>
      </c>
      <c r="B80" s="10" t="inlineStr">
        <is>
          <t>공통</t>
        </is>
      </c>
      <c r="C80" s="5" t="inlineStr">
        <is>
          <t>breakdown(detail, by, metric)</t>
        </is>
      </c>
      <c r="D80" s="10" t="inlineStr">
        <is>
          <t>함수</t>
        </is>
      </c>
      <c r="E80" s="5" t="inlineStr">
        <is>
          <t>모드 × 질문 유형(또는 source) 표.</t>
        </is>
      </c>
      <c r="F80" s="10" t="n">
        <v>80</v>
      </c>
      <c r="G80" s="11" t="inlineStr"/>
      <c r="H80" s="12" t="inlineStr"/>
    </row>
    <row r="81">
      <c r="A81" s="5" t="inlineStr">
        <is>
          <t>lab_eval.py</t>
        </is>
      </c>
      <c r="B81" s="10" t="inlineStr">
        <is>
          <t>공통</t>
        </is>
      </c>
      <c r="C81" s="5" t="inlineStr">
        <is>
          <t>smoke_template(questions, search_fn, answer_fn, k)</t>
        </is>
      </c>
      <c r="D81" s="10" t="inlineStr">
        <is>
          <t>함수</t>
        </is>
      </c>
      <c r="E81" s="5" t="inlineStr">
        <is>
          <t>스모크 테스트: 질문마다 상위 k 청크와 답변을 한 표로 → 사람이 판정 칸을 채운다.</t>
        </is>
      </c>
      <c r="F81" s="10" t="n">
        <v>86</v>
      </c>
      <c r="G81" s="11" t="inlineStr"/>
      <c r="H81" s="12" t="inlineStr"/>
    </row>
    <row r="82">
      <c r="A82" s="5" t="inlineStr">
        <is>
          <t>lab_eval.py</t>
        </is>
      </c>
      <c r="B82" s="10" t="inlineStr">
        <is>
          <t>공통</t>
        </is>
      </c>
      <c r="C82" s="5" t="inlineStr">
        <is>
          <t>smoke_summary(judged)</t>
        </is>
      </c>
      <c r="D82" s="10" t="inlineStr">
        <is>
          <t>함수</t>
        </is>
      </c>
      <c r="E82" s="5" t="inlineStr">
        <is>
          <t>판정 칸을 채운 스모크 표 → 실패 유형 · 검색 판정 · 답변 판정 집계.</t>
        </is>
      </c>
      <c r="F82" s="10" t="n">
        <v>100</v>
      </c>
      <c r="G82" s="11" t="inlineStr"/>
      <c r="H82" s="12" t="inlineStr"/>
    </row>
    <row r="83">
      <c r="A83" s="20" t="inlineStr">
        <is>
          <t>lab_golden_llm.py</t>
        </is>
      </c>
      <c r="B83" s="21" t="inlineStr">
        <is>
          <t>공통</t>
        </is>
      </c>
      <c r="C83" s="20" t="inlineStr">
        <is>
          <t>Q_TYPES</t>
        </is>
      </c>
      <c r="D83" s="21" t="inlineStr">
        <is>
          <t>설정값</t>
        </is>
      </c>
      <c r="E83" s="20" t="inlineStr">
        <is>
          <t>목록 5 개</t>
        </is>
      </c>
      <c r="F83" s="21" t="n">
        <v>22</v>
      </c>
      <c r="G83" s="11" t="inlineStr"/>
      <c r="H83" s="12" t="inlineStr"/>
    </row>
    <row r="84">
      <c r="A84" s="20" t="inlineStr">
        <is>
          <t>lab_golden_llm.py</t>
        </is>
      </c>
      <c r="B84" s="21" t="inlineStr">
        <is>
          <t>공통</t>
        </is>
      </c>
      <c r="C84" s="20" t="inlineStr">
        <is>
          <t>LEVELS</t>
        </is>
      </c>
      <c r="D84" s="21" t="inlineStr">
        <is>
          <t>설정값</t>
        </is>
      </c>
      <c r="E84" s="20" t="inlineStr">
        <is>
          <t>목록 3 개</t>
        </is>
      </c>
      <c r="F84" s="21" t="n">
        <v>23</v>
      </c>
      <c r="G84" s="11" t="inlineStr"/>
      <c r="H84" s="12" t="inlineStr"/>
    </row>
    <row r="85">
      <c r="A85" s="20" t="inlineStr">
        <is>
          <t>lab_golden_llm.py</t>
        </is>
      </c>
      <c r="B85" s="21" t="inlineStr">
        <is>
          <t>공통</t>
        </is>
      </c>
      <c r="C85" s="20" t="inlineStr">
        <is>
          <t>GEN_PROMPT</t>
        </is>
      </c>
      <c r="D85" s="21" t="inlineStr">
        <is>
          <t>설정값</t>
        </is>
      </c>
      <c r="E85" s="20" t="inlineStr">
        <is>
          <t>값 = 아래 [문서 조각]만 근거로 하여 평가용 질의 · 응답 1건을 만들어라.
규칙
- 질문: 조각의 구체 정보</t>
        </is>
      </c>
      <c r="F85" s="21" t="n">
        <v>25</v>
      </c>
      <c r="G85" s="11" t="inlineStr"/>
      <c r="H85" s="12" t="inlineStr"/>
    </row>
    <row r="86">
      <c r="A86" s="20" t="inlineStr">
        <is>
          <t>lab_golden_llm.py</t>
        </is>
      </c>
      <c r="B86" s="21" t="inlineStr">
        <is>
          <t>공통</t>
        </is>
      </c>
      <c r="C86" s="20" t="inlineStr">
        <is>
          <t>NOANS_PROMPT</t>
        </is>
      </c>
      <c r="D86" s="21" t="inlineStr">
        <is>
          <t>설정값</t>
        </is>
      </c>
      <c r="E86" s="20" t="inlineStr">
        <is>
          <t>값 = 아래 [보유 주제 목록]을 보고, 이 자료들로는 **답할 수 없는** 질문 1개를 만들어라.
조건: 같은 업</t>
        </is>
      </c>
      <c r="F86" s="21" t="n">
        <v>43</v>
      </c>
      <c r="G86" s="11" t="inlineStr"/>
      <c r="H86" s="12" t="inlineStr"/>
    </row>
    <row r="87">
      <c r="A87" s="5" t="inlineStr">
        <is>
          <t>lab_golden_llm.py</t>
        </is>
      </c>
      <c r="B87" s="10" t="inlineStr">
        <is>
          <t>공통</t>
        </is>
      </c>
      <c r="C87" s="5" t="inlineStr">
        <is>
          <t>_llm(prompt)</t>
        </is>
      </c>
      <c r="D87" s="10" t="inlineStr">
        <is>
          <t>함수</t>
        </is>
      </c>
      <c r="E87" s="5" t="inlineStr"/>
      <c r="F87" s="10" t="n">
        <v>54</v>
      </c>
      <c r="G87" s="11" t="inlineStr"/>
      <c r="H87" s="12" t="inlineStr"/>
    </row>
    <row r="88">
      <c r="A88" s="5" t="inlineStr">
        <is>
          <t>lab_golden_llm.py</t>
        </is>
      </c>
      <c r="B88" s="10" t="inlineStr">
        <is>
          <t>공통</t>
        </is>
      </c>
      <c r="C88" s="5" t="inlineStr">
        <is>
          <t>_grams(t, n)</t>
        </is>
      </c>
      <c r="D88" s="10" t="inlineStr">
        <is>
          <t>함수</t>
        </is>
      </c>
      <c r="E88" s="5" t="inlineStr"/>
      <c r="F88" s="10" t="n">
        <v>59</v>
      </c>
      <c r="G88" s="11" t="inlineStr"/>
      <c r="H88" s="12" t="inlineStr"/>
    </row>
    <row r="89">
      <c r="A89" s="5" t="inlineStr">
        <is>
          <t>lab_golden_llm.py</t>
        </is>
      </c>
      <c r="B89" s="10" t="inlineStr">
        <is>
          <t>공통</t>
        </is>
      </c>
      <c r="C89" s="5" t="inlineStr">
        <is>
          <t>_cov(a, b)</t>
        </is>
      </c>
      <c r="D89" s="10" t="inlineStr">
        <is>
          <t>함수</t>
        </is>
      </c>
      <c r="E89" s="5" t="inlineStr"/>
      <c r="F89" s="10" t="n">
        <v>64</v>
      </c>
      <c r="G89" s="11" t="inlineStr"/>
      <c r="H89" s="12" t="inlineStr"/>
    </row>
    <row r="90">
      <c r="A90" s="5" t="inlineStr">
        <is>
          <t>lab_golden_llm.py</t>
        </is>
      </c>
      <c r="B90" s="10" t="inlineStr">
        <is>
          <t>공통</t>
        </is>
      </c>
      <c r="C90" s="5" t="inlineStr">
        <is>
          <t>sample_chunks(chunks, raw, per_type, min_len, seed)</t>
        </is>
      </c>
      <c r="D90" s="10" t="inlineStr">
        <is>
          <t>함수</t>
        </is>
      </c>
      <c r="E90" s="5" t="inlineStr">
        <is>
          <t>소스 유형별 균형 표본 — 정보량 있는 청크 우선(수치 포함 · 길이)</t>
        </is>
      </c>
      <c r="F90" s="10" t="n">
        <v>70</v>
      </c>
      <c r="G90" s="11" t="inlineStr"/>
      <c r="H90" s="12" t="inlineStr"/>
    </row>
    <row r="91">
      <c r="A91" s="5" t="inlineStr">
        <is>
          <t>lab_golden_llm.py</t>
        </is>
      </c>
      <c r="B91" s="10" t="inlineStr">
        <is>
          <t>공통</t>
        </is>
      </c>
      <c r="C91" s="5" t="inlineStr">
        <is>
          <t>_parse(txt)</t>
        </is>
      </c>
      <c r="D91" s="10" t="inlineStr">
        <is>
          <t>함수</t>
        </is>
      </c>
      <c r="E91" s="5" t="inlineStr"/>
      <c r="F91" s="10" t="n">
        <v>85</v>
      </c>
      <c r="G91" s="11" t="inlineStr"/>
      <c r="H91" s="12" t="inlineStr"/>
    </row>
    <row r="92">
      <c r="A92" s="5" t="inlineStr">
        <is>
          <t>lab_golden_llm.py</t>
        </is>
      </c>
      <c r="B92" s="10" t="inlineStr">
        <is>
          <t>공통</t>
        </is>
      </c>
      <c r="C92" s="5" t="inlineStr">
        <is>
          <t>_rule_item(row)</t>
        </is>
      </c>
      <c r="D92" s="10" t="inlineStr">
        <is>
          <t>함수</t>
        </is>
      </c>
      <c r="E92" s="5" t="inlineStr">
        <is>
          <t>LLM 없을 때 — 수치 문장을 골라 질문 형태로 변환 (형식 확인용)</t>
        </is>
      </c>
      <c r="F92" s="10" t="n">
        <v>96</v>
      </c>
      <c r="G92" s="11" t="inlineStr"/>
      <c r="H92" s="12" t="inlineStr"/>
    </row>
    <row r="93">
      <c r="A93" s="5" t="inlineStr">
        <is>
          <t>lab_golden_llm.py</t>
        </is>
      </c>
      <c r="B93" s="10" t="inlineStr">
        <is>
          <t>공통</t>
        </is>
      </c>
      <c r="C93" s="5" t="inlineStr">
        <is>
          <t>generate(sampled, n, llm, use_llm)</t>
        </is>
      </c>
      <c r="D93" s="10" t="inlineStr">
        <is>
          <t>함수</t>
        </is>
      </c>
      <c r="E93" s="5" t="inlineStr">
        <is>
          <t>청크 표본 → 질의 · 응답 · 근거 생성</t>
        </is>
      </c>
      <c r="F93" s="10" t="n">
        <v>108</v>
      </c>
      <c r="G93" s="11" t="inlineStr"/>
      <c r="H93" s="12" t="inlineStr"/>
    </row>
    <row r="94">
      <c r="A94" s="5" t="inlineStr">
        <is>
          <t>lab_golden_llm.py</t>
        </is>
      </c>
      <c r="B94" s="10" t="inlineStr">
        <is>
          <t>공통</t>
        </is>
      </c>
      <c r="C94" s="5" t="inlineStr">
        <is>
          <t>make_unanswerable(raw, n, llm, use_llm, seed)</t>
        </is>
      </c>
      <c r="D94" s="10" t="inlineStr">
        <is>
          <t>함수</t>
        </is>
      </c>
      <c r="E94" s="5" t="inlineStr">
        <is>
          <t>답없음 문항 — 코퍼스에 없는 전제 (거절 정확도 측정용)</t>
        </is>
      </c>
      <c r="F94" s="10" t="n">
        <v>138</v>
      </c>
      <c r="G94" s="11" t="inlineStr"/>
      <c r="H94" s="12" t="inlineStr"/>
    </row>
    <row r="95">
      <c r="A95" s="20" t="inlineStr">
        <is>
          <t>lab_golden_llm.py</t>
        </is>
      </c>
      <c r="B95" s="21" t="inlineStr">
        <is>
          <t>공통</t>
        </is>
      </c>
      <c r="C95" s="20" t="inlineStr">
        <is>
          <t>CHECKS</t>
        </is>
      </c>
      <c r="D95" s="21" t="inlineStr">
        <is>
          <t>설정값</t>
        </is>
      </c>
      <c r="E95" s="20" t="inlineStr">
        <is>
          <t>목록 6 개</t>
        </is>
      </c>
      <c r="F95" s="21" t="n">
        <v>163</v>
      </c>
      <c r="G95" s="11" t="inlineStr"/>
      <c r="H95" s="12" t="inlineStr"/>
    </row>
    <row r="96">
      <c r="A96" s="5" t="inlineStr">
        <is>
          <t>lab_golden_llm.py</t>
        </is>
      </c>
      <c r="B96" s="10" t="inlineStr">
        <is>
          <t>공통</t>
        </is>
      </c>
      <c r="C96" s="5" t="inlineStr">
        <is>
          <t>self_check(golden, chunks, retriever, k)</t>
        </is>
      </c>
      <c r="D96" s="10" t="inlineStr">
        <is>
          <t>함수</t>
        </is>
      </c>
      <c r="E96" s="5" t="inlineStr">
        <is>
          <t>생성 결과 자가 검증 — 불합격 항목이 있으면 검수 우선 대상</t>
        </is>
      </c>
      <c r="F96" s="10" t="n">
        <v>167</v>
      </c>
      <c r="G96" s="11" t="inlineStr"/>
      <c r="H96" s="12" t="inlineStr"/>
    </row>
    <row r="97">
      <c r="A97" s="5" t="inlineStr">
        <is>
          <t>lab_golden_llm.py</t>
        </is>
      </c>
      <c r="B97" s="10" t="inlineStr">
        <is>
          <t>공통</t>
        </is>
      </c>
      <c r="C97" s="5" t="inlineStr">
        <is>
          <t>apply_check(golden, checked)</t>
        </is>
      </c>
      <c r="D97" s="10" t="inlineStr">
        <is>
          <t>함수</t>
        </is>
      </c>
      <c r="E97" s="5" t="inlineStr">
        <is>
          <t>자가 검증 결과 결합 — 통과분이 검수 1순위</t>
        </is>
      </c>
      <c r="F97" s="10" t="n">
        <v>196</v>
      </c>
      <c r="G97" s="11" t="inlineStr"/>
      <c r="H97" s="12" t="inlineStr"/>
    </row>
    <row r="98">
      <c r="A98" s="20" t="inlineStr">
        <is>
          <t>lab_golden_llm.py</t>
        </is>
      </c>
      <c r="B98" s="21" t="inlineStr">
        <is>
          <t>공통</t>
        </is>
      </c>
      <c r="C98" s="20" t="inlineStr">
        <is>
          <t>TARGET_MIX</t>
        </is>
      </c>
      <c r="D98" s="21" t="inlineStr">
        <is>
          <t>설정값</t>
        </is>
      </c>
      <c r="E98" s="20" t="inlineStr">
        <is>
          <t>딕셔너리 6 항목</t>
        </is>
      </c>
      <c r="F98" s="21" t="n">
        <v>203</v>
      </c>
      <c r="G98" s="11" t="inlineStr"/>
      <c r="H98" s="12" t="inlineStr"/>
    </row>
    <row r="99">
      <c r="A99" s="5" t="inlineStr">
        <is>
          <t>lab_golden_llm.py</t>
        </is>
      </c>
      <c r="B99" s="10" t="inlineStr">
        <is>
          <t>공통</t>
        </is>
      </c>
      <c r="C99" s="5" t="inlineStr">
        <is>
          <t>mix_report(golden, target)</t>
        </is>
      </c>
      <c r="D99" s="10" t="inlineStr">
        <is>
          <t>함수</t>
        </is>
      </c>
      <c r="E99" s="5" t="inlineStr">
        <is>
          <t>유형 배분 점검 — 한쪽으로 몰리면 지표가 왜곡된다</t>
        </is>
      </c>
      <c r="F99" s="10" t="n">
        <v>206</v>
      </c>
      <c r="G99" s="11" t="inlineStr"/>
      <c r="H99" s="12" t="inlineStr"/>
    </row>
    <row r="100">
      <c r="A100" s="20" t="inlineStr">
        <is>
          <t>lab_golden_llm.py</t>
        </is>
      </c>
      <c r="B100" s="21" t="inlineStr">
        <is>
          <t>공통</t>
        </is>
      </c>
      <c r="C100" s="20" t="inlineStr">
        <is>
          <t>REVIEW_COLS</t>
        </is>
      </c>
      <c r="D100" s="21" t="inlineStr">
        <is>
          <t>설정값</t>
        </is>
      </c>
      <c r="E100" s="20" t="inlineStr">
        <is>
          <t>목록 16 개</t>
        </is>
      </c>
      <c r="F100" s="21" t="n">
        <v>219</v>
      </c>
      <c r="G100" s="11" t="inlineStr"/>
      <c r="H100" s="12" t="inlineStr"/>
    </row>
    <row r="101">
      <c r="A101" s="5" t="inlineStr">
        <is>
          <t>lab_golden_llm.py</t>
        </is>
      </c>
      <c r="B101" s="10" t="inlineStr">
        <is>
          <t>공통</t>
        </is>
      </c>
      <c r="C101" s="5" t="inlineStr">
        <is>
          <t>to_review(golden)</t>
        </is>
      </c>
      <c r="D101" s="10" t="inlineStr">
        <is>
          <t>함수</t>
        </is>
      </c>
      <c r="E101" s="5" t="inlineStr">
        <is>
          <t>검수 시트 형태로 — 이력 엑셀 `2_골든셋_검수` 에 붙여넣기</t>
        </is>
      </c>
      <c r="F101" s="10" t="n">
        <v>223</v>
      </c>
      <c r="G101" s="11" t="inlineStr"/>
      <c r="H101" s="12" t="inlineStr"/>
    </row>
    <row r="102">
      <c r="A102" s="5" t="inlineStr">
        <is>
          <t>lab_golden_llm.py</t>
        </is>
      </c>
      <c r="B102" s="10" t="inlineStr">
        <is>
          <t>공통</t>
        </is>
      </c>
      <c r="C102" s="5" t="inlineStr">
        <is>
          <t>finalize(reviewed)</t>
        </is>
      </c>
      <c r="D102" s="10" t="inlineStr">
        <is>
          <t>함수</t>
        </is>
      </c>
      <c r="E102" s="5" t="inlineStr">
        <is>
          <t>검수 완료 → 골든셋 확정 (채택 · 수정 후 채택만)</t>
        </is>
      </c>
      <c r="F102" s="10" t="n">
        <v>235</v>
      </c>
      <c r="G102" s="11" t="inlineStr"/>
      <c r="H102" s="12" t="inlineStr"/>
    </row>
    <row r="103">
      <c r="A103" s="20" t="inlineStr">
        <is>
          <t>lab_graph.py</t>
        </is>
      </c>
      <c r="B103" s="21" t="inlineStr">
        <is>
          <t>공통</t>
        </is>
      </c>
      <c r="C103" s="20" t="inlineStr">
        <is>
          <t>MAX_RETRY</t>
        </is>
      </c>
      <c r="D103" s="21" t="inlineStr">
        <is>
          <t>설정값</t>
        </is>
      </c>
      <c r="E103" s="20" t="inlineStr">
        <is>
          <t>값 = 1</t>
        </is>
      </c>
      <c r="F103" s="21" t="n">
        <v>25</v>
      </c>
      <c r="G103" s="11" t="inlineStr"/>
      <c r="H103" s="12" t="inlineStr"/>
    </row>
    <row r="104">
      <c r="A104" s="20" t="inlineStr">
        <is>
          <t>lab_graph.py</t>
        </is>
      </c>
      <c r="B104" s="21" t="inlineStr">
        <is>
          <t>공통</t>
        </is>
      </c>
      <c r="C104" s="20" t="inlineStr">
        <is>
          <t>PRESETS</t>
        </is>
      </c>
      <c r="D104" s="21" t="inlineStr">
        <is>
          <t>설정값</t>
        </is>
      </c>
      <c r="E104" s="20" t="inlineStr">
        <is>
          <t>딕셔너리 7 항목</t>
        </is>
      </c>
      <c r="F104" s="21" t="n">
        <v>28</v>
      </c>
      <c r="G104" s="11" t="inlineStr"/>
      <c r="H104" s="12" t="inlineStr"/>
    </row>
    <row r="105">
      <c r="A105" s="20" t="inlineStr">
        <is>
          <t>lab_graph.py</t>
        </is>
      </c>
      <c r="B105" s="21" t="inlineStr">
        <is>
          <t>공통</t>
        </is>
      </c>
      <c r="C105" s="20" t="inlineStr">
        <is>
          <t>DEFAULT</t>
        </is>
      </c>
      <c r="D105" s="21" t="inlineStr">
        <is>
          <t>설정값</t>
        </is>
      </c>
      <c r="E105" s="20" t="inlineStr">
        <is>
          <t>값 = v6_verify</t>
        </is>
      </c>
      <c r="F105" s="21" t="n">
        <v>37</v>
      </c>
      <c r="G105" s="11" t="inlineStr"/>
      <c r="H105" s="12" t="inlineStr"/>
    </row>
    <row r="106">
      <c r="A106" s="5" t="inlineStr">
        <is>
          <t>lab_graph.py</t>
        </is>
      </c>
      <c r="B106" s="10" t="inlineStr">
        <is>
          <t>공통</t>
        </is>
      </c>
      <c r="C106" s="5" t="inlineStr">
        <is>
          <t>cfg(name, **over)</t>
        </is>
      </c>
      <c r="D106" s="10" t="inlineStr">
        <is>
          <t>함수</t>
        </is>
      </c>
      <c r="E106" s="5" t="inlineStr"/>
      <c r="F106" s="10" t="n">
        <v>40</v>
      </c>
      <c r="G106" s="11" t="inlineStr"/>
      <c r="H106" s="12" t="inlineStr"/>
    </row>
    <row r="107">
      <c r="A107" s="20" t="inlineStr">
        <is>
          <t>lab_graph.py</t>
        </is>
      </c>
      <c r="B107" s="21" t="inlineStr">
        <is>
          <t>공통</t>
        </is>
      </c>
      <c r="C107" s="20" t="inlineStr">
        <is>
          <t>DECOMP_PROMPT</t>
        </is>
      </c>
      <c r="D107" s="21" t="inlineStr">
        <is>
          <t>설정값</t>
        </is>
      </c>
      <c r="E107" s="20" t="inlineStr">
        <is>
          <t xml:space="preserve">값 = 아래 질문을 검색에 쓸 하위 질의 2~3개로 나눠라.
규칙: 한 줄에 하나 · 번호 · 설명 없이 질의문만 </t>
        </is>
      </c>
      <c r="F107" s="21" t="n">
        <v>52</v>
      </c>
      <c r="G107" s="11" t="inlineStr"/>
      <c r="H107" s="12" t="inlineStr"/>
    </row>
    <row r="108">
      <c r="A108" s="20" t="inlineStr">
        <is>
          <t>lab_graph.py</t>
        </is>
      </c>
      <c r="B108" s="21" t="inlineStr">
        <is>
          <t>공통</t>
        </is>
      </c>
      <c r="C108" s="20" t="inlineStr">
        <is>
          <t>GRADE_PROMPT</t>
        </is>
      </c>
      <c r="D108" s="21" t="inlineStr">
        <is>
          <t>설정값</t>
        </is>
      </c>
      <c r="E108" s="20" t="inlineStr">
        <is>
          <t>값 = 질문에 답하는 데 이 문단이 쓸모 있는가? 예 또는 아니오 한 단어로만 답하라.
[질문] {q}
[문단] {</t>
        </is>
      </c>
      <c r="F108" s="21" t="n">
        <v>56</v>
      </c>
      <c r="G108" s="11" t="inlineStr"/>
      <c r="H108" s="12" t="inlineStr"/>
    </row>
    <row r="109">
      <c r="A109" s="5" t="inlineStr">
        <is>
          <t>lab_graph.py</t>
        </is>
      </c>
      <c r="B109" s="10" t="inlineStr">
        <is>
          <t>공통</t>
        </is>
      </c>
      <c r="C109" s="5" t="inlineStr">
        <is>
          <t>n_route(st, c)</t>
        </is>
      </c>
      <c r="D109" s="10" t="inlineStr">
        <is>
          <t>함수</t>
        </is>
      </c>
      <c r="E109" s="5" t="inlineStr">
        <is>
          <t>질의 경로 판정 — 정형(SQL) · 비정형(RAG) · 혼합</t>
        </is>
      </c>
      <c r="F109" s="10" t="n">
        <v>61</v>
      </c>
      <c r="G109" s="11" t="inlineStr"/>
      <c r="H109" s="12" t="inlineStr"/>
    </row>
    <row r="110">
      <c r="A110" s="5" t="inlineStr">
        <is>
          <t>lab_graph.py</t>
        </is>
      </c>
      <c r="B110" s="10" t="inlineStr">
        <is>
          <t>공통</t>
        </is>
      </c>
      <c r="C110" s="5" t="inlineStr">
        <is>
          <t>n_decompose(st, c)</t>
        </is>
      </c>
      <c r="D110" s="10" t="inlineStr">
        <is>
          <t>함수</t>
        </is>
      </c>
      <c r="E110" s="5" t="inlineStr">
        <is>
          <t>복합 질의 분해 — 비교 · 다단 질문만 (단순 질의는 그대로)</t>
        </is>
      </c>
      <c r="F110" s="10" t="n">
        <v>70</v>
      </c>
      <c r="G110" s="11" t="inlineStr"/>
      <c r="H110" s="12" t="inlineStr"/>
    </row>
    <row r="111">
      <c r="A111" s="5" t="inlineStr">
        <is>
          <t>lab_graph.py</t>
        </is>
      </c>
      <c r="B111" s="10" t="inlineStr">
        <is>
          <t>공통</t>
        </is>
      </c>
      <c r="C111" s="5" t="inlineStr">
        <is>
          <t>n_retrieve(st, c)</t>
        </is>
      </c>
      <c r="D111" s="10" t="inlineStr">
        <is>
          <t>함수</t>
        </is>
      </c>
      <c r="E111" s="5" t="inlineStr">
        <is>
          <t>하위 질의별 검색 → RRF 결합 (단일 질의면 그대로)</t>
        </is>
      </c>
      <c r="F111" s="10" t="n">
        <v>89</v>
      </c>
      <c r="G111" s="11" t="inlineStr"/>
      <c r="H111" s="12" t="inlineStr"/>
    </row>
    <row r="112">
      <c r="A112" s="5" t="inlineStr">
        <is>
          <t>lab_graph.py</t>
        </is>
      </c>
      <c r="B112" s="10" t="inlineStr">
        <is>
          <t>공통</t>
        </is>
      </c>
      <c r="C112" s="5" t="inlineStr">
        <is>
          <t>n_grade(st, c)</t>
        </is>
      </c>
      <c r="D112" s="10" t="inlineStr">
        <is>
          <t>함수</t>
        </is>
      </c>
      <c r="E112" s="5" t="inlineStr">
        <is>
          <t>문단 적합성 판정 — 무관 문단 제거 (컨텍스트 오염 차단)</t>
        </is>
      </c>
      <c r="F112" s="10" t="n">
        <v>113</v>
      </c>
      <c r="G112" s="11" t="inlineStr"/>
      <c r="H112" s="12" t="inlineStr"/>
    </row>
    <row r="113">
      <c r="A113" s="5" t="inlineStr">
        <is>
          <t>lab_graph.py</t>
        </is>
      </c>
      <c r="B113" s="10" t="inlineStr">
        <is>
          <t>공통</t>
        </is>
      </c>
      <c r="C113" s="5" t="inlineStr">
        <is>
          <t>_kw_overlap(q, t)</t>
        </is>
      </c>
      <c r="D113" s="10" t="inlineStr">
        <is>
          <t>함수</t>
        </is>
      </c>
      <c r="E113" s="5" t="inlineStr"/>
      <c r="F113" s="10" t="n">
        <v>136</v>
      </c>
      <c r="G113" s="11" t="inlineStr"/>
      <c r="H113" s="12" t="inlineStr"/>
    </row>
    <row r="114">
      <c r="A114" s="5" t="inlineStr">
        <is>
          <t>lab_graph.py</t>
        </is>
      </c>
      <c r="B114" s="10" t="inlineStr">
        <is>
          <t>공통</t>
        </is>
      </c>
      <c r="C114" s="5" t="inlineStr">
        <is>
          <t>n_rewrite(st, c)</t>
        </is>
      </c>
      <c r="D114" s="10" t="inlineStr">
        <is>
          <t>함수</t>
        </is>
      </c>
      <c r="E114" s="5" t="inlineStr">
        <is>
          <t>근거 부족 시 질의 재작성 후 재검색 (최대 MAX_RETRY)</t>
        </is>
      </c>
      <c r="F114" s="10" t="n">
        <v>141</v>
      </c>
      <c r="G114" s="11" t="inlineStr"/>
      <c r="H114" s="12" t="inlineStr"/>
    </row>
    <row r="115">
      <c r="A115" s="5" t="inlineStr">
        <is>
          <t>lab_graph.py</t>
        </is>
      </c>
      <c r="B115" s="10" t="inlineStr">
        <is>
          <t>공통</t>
        </is>
      </c>
      <c r="C115" s="5" t="inlineStr">
        <is>
          <t>n_generate(st, c)</t>
        </is>
      </c>
      <c r="D115" s="10" t="inlineStr">
        <is>
          <t>함수</t>
        </is>
      </c>
      <c r="E115" s="5" t="inlineStr">
        <is>
          <t>답변 생성 — 근거 없으면 '확인된 자료 없음'</t>
        </is>
      </c>
      <c r="F115" s="10" t="n">
        <v>153</v>
      </c>
      <c r="G115" s="11" t="inlineStr"/>
      <c r="H115" s="12" t="inlineStr"/>
    </row>
    <row r="116">
      <c r="A116" s="5" t="inlineStr">
        <is>
          <t>lab_graph.py</t>
        </is>
      </c>
      <c r="B116" s="10" t="inlineStr">
        <is>
          <t>공통</t>
        </is>
      </c>
      <c r="C116" s="5" t="inlineStr">
        <is>
          <t>n_verify(st, c)</t>
        </is>
      </c>
      <c r="D116" s="10" t="inlineStr">
        <is>
          <t>함수</t>
        </is>
      </c>
      <c r="E116" s="5" t="inlineStr">
        <is>
          <t>환각 점검 — 근거 없는 문장 비율이 높으면 1회 재생성 후 보류 처리</t>
        </is>
      </c>
      <c r="F116" s="10" t="n">
        <v>169</v>
      </c>
      <c r="G116" s="11" t="inlineStr"/>
      <c r="H116" s="12" t="inlineStr"/>
    </row>
    <row r="117">
      <c r="A117" s="5" t="inlineStr">
        <is>
          <t>lab_graph.py</t>
        </is>
      </c>
      <c r="B117" s="10" t="inlineStr">
        <is>
          <t>공통</t>
        </is>
      </c>
      <c r="C117" s="5" t="inlineStr">
        <is>
          <t>_need_rewrite(st, c)</t>
        </is>
      </c>
      <c r="D117" s="10" t="inlineStr">
        <is>
          <t>함수</t>
        </is>
      </c>
      <c r="E117" s="5" t="inlineStr"/>
      <c r="F117" s="10" t="n">
        <v>189</v>
      </c>
      <c r="G117" s="11" t="inlineStr"/>
      <c r="H117" s="12" t="inlineStr"/>
    </row>
    <row r="118">
      <c r="A118" s="5" t="inlineStr">
        <is>
          <t>lab_graph.py</t>
        </is>
      </c>
      <c r="B118" s="10" t="inlineStr">
        <is>
          <t>공통</t>
        </is>
      </c>
      <c r="C118" s="5" t="inlineStr">
        <is>
          <t>_new_state(q, ret, meta)</t>
        </is>
      </c>
      <c r="D118" s="10" t="inlineStr">
        <is>
          <t>함수</t>
        </is>
      </c>
      <c r="E118" s="5" t="inlineStr"/>
      <c r="F118" s="10" t="n">
        <v>193</v>
      </c>
      <c r="G118" s="11" t="inlineStr"/>
      <c r="H118" s="12" t="inlineStr"/>
    </row>
    <row r="119">
      <c r="A119" s="5" t="inlineStr">
        <is>
          <t>lab_graph.py</t>
        </is>
      </c>
      <c r="B119" s="10" t="inlineStr">
        <is>
          <t>공통</t>
        </is>
      </c>
      <c r="C119" s="5" t="inlineStr">
        <is>
          <t>run_once(question, ret, meta, c)</t>
        </is>
      </c>
      <c r="D119" s="10" t="inlineStr">
        <is>
          <t>함수</t>
        </is>
      </c>
      <c r="E119" s="5" t="inlineStr">
        <is>
          <t>질문 1건 실행 → 상태 dict (trace 로 어느 노드가 무엇을 했는지 확인)</t>
        </is>
      </c>
      <c r="F119" s="10" t="n">
        <v>198</v>
      </c>
      <c r="G119" s="11" t="inlineStr"/>
      <c r="H119" s="12" t="inlineStr"/>
    </row>
    <row r="120">
      <c r="A120" s="5" t="inlineStr">
        <is>
          <t>lab_graph.py</t>
        </is>
      </c>
      <c r="B120" s="10" t="inlineStr">
        <is>
          <t>공통</t>
        </is>
      </c>
      <c r="C120" s="5" t="inlineStr">
        <is>
          <t>build_langgraph(ret, meta, c)</t>
        </is>
      </c>
      <c r="D120" s="10" t="inlineStr">
        <is>
          <t>함수</t>
        </is>
      </c>
      <c r="E120" s="5" t="inlineStr">
        <is>
          <t>langgraph 설치 시 StateGraph 로 동일 노드를 구성 (없으면 None)</t>
        </is>
      </c>
      <c r="F120" s="10" t="n">
        <v>218</v>
      </c>
      <c r="G120" s="11" t="inlineStr"/>
      <c r="H120" s="12" t="inlineStr"/>
    </row>
    <row r="121">
      <c r="A121" s="5" t="inlineStr">
        <is>
          <t>lab_graph.py</t>
        </is>
      </c>
      <c r="B121" s="10" t="inlineStr">
        <is>
          <t>공통</t>
        </is>
      </c>
      <c r="C121" s="5" t="inlineStr">
        <is>
          <t>run_graph(question, ret, meta, c, app)</t>
        </is>
      </c>
      <c r="D121" s="10" t="inlineStr">
        <is>
          <t>함수</t>
        </is>
      </c>
      <c r="E121" s="5" t="inlineStr">
        <is>
          <t>langgraph 앱이 있으면 그래프로, 없으면 내장 실행기로 (결과 동일)</t>
        </is>
      </c>
      <c r="F121" s="10" t="n">
        <v>245</v>
      </c>
      <c r="G121" s="11" t="inlineStr"/>
      <c r="H121" s="12" t="inlineStr"/>
    </row>
    <row r="122">
      <c r="A122" s="5" t="inlineStr">
        <is>
          <t>lab_graph.py</t>
        </is>
      </c>
      <c r="B122" s="10" t="inlineStr">
        <is>
          <t>공통</t>
        </is>
      </c>
      <c r="C122" s="5" t="inlineStr">
        <is>
          <t>trace_table(st)</t>
        </is>
      </c>
      <c r="D122" s="10" t="inlineStr">
        <is>
          <t>함수</t>
        </is>
      </c>
      <c r="E122" s="5" t="inlineStr">
        <is>
          <t>노드 실행 흔적 → DataFrame</t>
        </is>
      </c>
      <c r="F122" s="10" t="n">
        <v>257</v>
      </c>
      <c r="G122" s="11" t="inlineStr"/>
      <c r="H122" s="12" t="inlineStr"/>
    </row>
    <row r="123">
      <c r="A123" s="5" t="inlineStr">
        <is>
          <t>lab_graph.py</t>
        </is>
      </c>
      <c r="B123" s="10" t="inlineStr">
        <is>
          <t>공통</t>
        </is>
      </c>
      <c r="C123" s="5" t="inlineStr">
        <is>
          <t>run_batch(questions, ret, meta, c, app)</t>
        </is>
      </c>
      <c r="D123" s="10" t="inlineStr">
        <is>
          <t>함수</t>
        </is>
      </c>
      <c r="E123" s="5" t="inlineStr">
        <is>
          <t>질문 목록 실행 → 문항별 결과 DataFrame</t>
        </is>
      </c>
      <c r="F123" s="10" t="n">
        <v>263</v>
      </c>
      <c r="G123" s="11" t="inlineStr"/>
      <c r="H123" s="12" t="inlineStr"/>
    </row>
    <row r="124">
      <c r="A124" s="5" t="inlineStr">
        <is>
          <t>lab_graph.py</t>
        </is>
      </c>
      <c r="B124" s="10" t="inlineStr">
        <is>
          <t>공통</t>
        </is>
      </c>
      <c r="C124" s="5" t="inlineStr">
        <is>
          <t>compare(presets, questions, ret, meta, golden, embedder, use_langgraph)</t>
        </is>
      </c>
      <c r="D124" s="10" t="inlineStr">
        <is>
          <t>함수</t>
        </is>
      </c>
      <c r="E124" s="5" t="inlineStr">
        <is>
          <t>프리셋별 실행 → 지표 비교표. golden(qid · gold_doc_ids · must_include) 있으면 검색 · 정확도까지.</t>
        </is>
      </c>
      <c r="F124" s="10" t="n">
        <v>278</v>
      </c>
      <c r="G124" s="11" t="inlineStr"/>
      <c r="H124" s="12" t="inlineStr"/>
    </row>
    <row r="125">
      <c r="A125" s="5" t="inlineStr">
        <is>
          <t>lab_graph.py</t>
        </is>
      </c>
      <c r="B125" s="10" t="inlineStr">
        <is>
          <t>공통</t>
        </is>
      </c>
      <c r="C125" s="5" t="inlineStr">
        <is>
          <t>delta(summary, base)</t>
        </is>
      </c>
      <c r="D125" s="10" t="inlineStr">
        <is>
          <t>함수</t>
        </is>
      </c>
      <c r="E125" s="5" t="inlineStr">
        <is>
          <t>기준 프리셋 대비 증감 — 개선 정량화</t>
        </is>
      </c>
      <c r="F125" s="10" t="n">
        <v>326</v>
      </c>
      <c r="G125" s="11" t="inlineStr"/>
      <c r="H125" s="12" t="inlineStr"/>
    </row>
    <row r="126">
      <c r="A126" s="5" t="inlineStr">
        <is>
          <t>lab_io.py</t>
        </is>
      </c>
      <c r="B126" s="10" t="inlineStr">
        <is>
          <t>공통</t>
        </is>
      </c>
      <c r="C126" s="5" t="inlineStr">
        <is>
          <t>sample_mod()</t>
        </is>
      </c>
      <c r="D126" s="10" t="inlineStr">
        <is>
          <t>함수</t>
        </is>
      </c>
      <c r="E126" s="5" t="inlineStr">
        <is>
          <t>샘플 데이터 모듈 — SAMPLE_SET 값으로 16건 / 100건 선택</t>
        </is>
      </c>
      <c r="F126" s="10" t="n">
        <v>14</v>
      </c>
      <c r="G126" s="11" t="inlineStr"/>
      <c r="H126" s="12" t="inlineStr"/>
    </row>
    <row r="127">
      <c r="A127" s="5" t="inlineStr">
        <is>
          <t>lab_io.py</t>
        </is>
      </c>
      <c r="B127" s="10" t="inlineStr">
        <is>
          <t>공통</t>
        </is>
      </c>
      <c r="C127" s="5" t="inlineStr">
        <is>
          <t>connect()</t>
        </is>
      </c>
      <c r="D127" s="10" t="inlineStr">
        <is>
          <t>함수</t>
        </is>
      </c>
      <c r="E127" s="5" t="inlineStr">
        <is>
          <t>Oracle 연결 (한 번 만들고 재사용). thin 모드 기본, ORA_THICK_LIB 있으면 thick.</t>
        </is>
      </c>
      <c r="F127" s="10" t="n">
        <v>20</v>
      </c>
      <c r="G127" s="11" t="inlineStr"/>
      <c r="H127" s="12" t="inlineStr"/>
    </row>
    <row r="128">
      <c r="A128" s="5" t="inlineStr">
        <is>
          <t>lab_io.py</t>
        </is>
      </c>
      <c r="B128" s="10" t="inlineStr">
        <is>
          <t>공통</t>
        </is>
      </c>
      <c r="C128" s="5" t="inlineStr">
        <is>
          <t>read_sql(sql, params)</t>
        </is>
      </c>
      <c r="D128" s="10" t="inlineStr">
        <is>
          <t>함수</t>
        </is>
      </c>
      <c r="E128" s="5" t="inlineStr">
        <is>
          <t>임의 SQL → DataFrame (컬럼명 소문자).</t>
        </is>
      </c>
      <c r="F128" s="10" t="n">
        <v>33</v>
      </c>
      <c r="G128" s="11" t="inlineStr"/>
      <c r="H128" s="12" t="inlineStr"/>
    </row>
    <row r="129">
      <c r="A129" s="5" t="inlineStr">
        <is>
          <t>lab_io.py</t>
        </is>
      </c>
      <c r="B129" s="10" t="inlineStr">
        <is>
          <t>공통</t>
        </is>
      </c>
      <c r="C129" s="5" t="inlineStr">
        <is>
          <t>_select(m, n, where, sample_pct)</t>
        </is>
      </c>
      <c r="D129" s="10" t="inlineStr">
        <is>
          <t>함수</t>
        </is>
      </c>
      <c r="E129" s="5" t="inlineStr">
        <is>
          <t>매핑(dict)으로 SELECT 문 생성. None 인 컬럼은 건너뛴다.</t>
        </is>
      </c>
      <c r="F129" s="10" t="n">
        <v>43</v>
      </c>
      <c r="G129" s="11" t="inlineStr"/>
      <c r="H129" s="12" t="inlineStr"/>
    </row>
    <row r="130">
      <c r="A130" s="5" t="inlineStr">
        <is>
          <t>lab_io.py</t>
        </is>
      </c>
      <c r="B130" s="10" t="inlineStr">
        <is>
          <t>공통</t>
        </is>
      </c>
      <c r="C130" s="5" t="inlineStr">
        <is>
          <t>_std_types(df)</t>
        </is>
      </c>
      <c r="D130" s="10" t="inlineStr">
        <is>
          <t>함수</t>
        </is>
      </c>
      <c r="E130" s="5" t="inlineStr"/>
      <c r="F130" s="10" t="n">
        <v>55</v>
      </c>
      <c r="G130" s="11" t="inlineStr"/>
      <c r="H130" s="12" t="inlineStr"/>
    </row>
    <row r="131">
      <c r="A131" s="5" t="inlineStr">
        <is>
          <t>lab_io.py</t>
        </is>
      </c>
      <c r="B131" s="10" t="inlineStr">
        <is>
          <t>공통</t>
        </is>
      </c>
      <c r="C131" s="5" t="inlineStr">
        <is>
          <t>load_golden()</t>
        </is>
      </c>
      <c r="D131" s="10" t="inlineStr">
        <is>
          <t>함수</t>
        </is>
      </c>
      <c r="E131" s="5" t="inlineStr">
        <is>
          <t>정답지(골든셋). 파일이 있으면 그것을 쓴다 — 직접 고쳐가며 실험할 수 있게.</t>
        </is>
      </c>
      <c r="F131" s="10" t="n">
        <v>66</v>
      </c>
      <c r="G131" s="11" t="inlineStr"/>
      <c r="H131" s="12" t="inlineStr"/>
    </row>
    <row r="132">
      <c r="A132" s="5" t="inlineStr">
        <is>
          <t>lab_io.py</t>
        </is>
      </c>
      <c r="B132" s="10" t="inlineStr">
        <is>
          <t>공통</t>
        </is>
      </c>
      <c r="C132" s="5" t="inlineStr">
        <is>
          <t>load_raw(n, where, sample_pct)</t>
        </is>
      </c>
      <c r="D132" s="10" t="inlineStr">
        <is>
          <t>함수</t>
        </is>
      </c>
      <c r="E132" s="5" t="inlineStr">
        <is>
          <t>원문 문서. n: 최대 행 수, where: SQL 조건(예: "DOC_TYPE='EMAIL'"), sample_pct: 테이블 표본 %.</t>
        </is>
      </c>
      <c r="F132" s="10" t="n">
        <v>81</v>
      </c>
      <c r="G132" s="11" t="inlineStr"/>
      <c r="H132" s="12" t="inlineStr"/>
    </row>
    <row r="133">
      <c r="A133" s="5" t="inlineStr">
        <is>
          <t>lab_io.py</t>
        </is>
      </c>
      <c r="B133" s="10" t="inlineStr">
        <is>
          <t>공통</t>
        </is>
      </c>
      <c r="C133" s="5" t="inlineStr">
        <is>
          <t>load_chunks(n, where, doc_ids, sample_pct)</t>
        </is>
      </c>
      <c r="D133" s="10" t="inlineStr">
        <is>
          <t>함수</t>
        </is>
      </c>
      <c r="E133" s="5" t="inlineStr">
        <is>
          <t>청크. doc_ids 를 주면 해당 문서의 청크만 (1000개씩 나눠 조회).</t>
        </is>
      </c>
      <c r="F133" s="10" t="n">
        <v>89</v>
      </c>
      <c r="G133" s="11" t="inlineStr"/>
      <c r="H133" s="12" t="inlineStr"/>
    </row>
    <row r="134">
      <c r="A134" s="5" t="inlineStr">
        <is>
          <t>lab_io.py</t>
        </is>
      </c>
      <c r="B134" s="10" t="inlineStr">
        <is>
          <t>공통</t>
        </is>
      </c>
      <c r="C134" s="5" t="inlineStr">
        <is>
          <t>count_by_type()</t>
        </is>
      </c>
      <c r="D134" s="10" t="inlineStr">
        <is>
          <t>함수</t>
        </is>
      </c>
      <c r="E134" s="5" t="inlineStr">
        <is>
          <t>소스 유형별 문서 수 · 날짜 누락 수 (DB에서 집계 — 전체 대상).</t>
        </is>
      </c>
      <c r="F134" s="10" t="n">
        <v>107</v>
      </c>
      <c r="G134" s="11" t="inlineStr"/>
      <c r="H134" s="12" t="inlineStr"/>
    </row>
    <row r="135">
      <c r="A135" s="5" t="inlineStr">
        <is>
          <t>lab_io.py</t>
        </is>
      </c>
      <c r="B135" s="10" t="inlineStr">
        <is>
          <t>공통</t>
        </is>
      </c>
      <c r="C135" s="5" t="inlineStr">
        <is>
          <t>count_chunks_by_type()</t>
        </is>
      </c>
      <c r="D135" s="10" t="inlineStr">
        <is>
          <t>함수</t>
        </is>
      </c>
      <c r="E135" s="5" t="inlineStr">
        <is>
          <t>소스 유형별 청크 수.</t>
        </is>
      </c>
      <c r="F135" s="10" t="n">
        <v>120</v>
      </c>
      <c r="G135" s="11" t="inlineStr"/>
      <c r="H135" s="12" t="inlineStr"/>
    </row>
    <row r="136">
      <c r="A136" s="5" t="inlineStr">
        <is>
          <t>lab_io.py</t>
        </is>
      </c>
      <c r="B136" s="10" t="inlineStr">
        <is>
          <t>공통</t>
        </is>
      </c>
      <c r="C136" s="5" t="inlineStr">
        <is>
          <t>sample_per_type(n_per_type)</t>
        </is>
      </c>
      <c r="D136" s="10" t="inlineStr">
        <is>
          <t>함수</t>
        </is>
      </c>
      <c r="E136" s="5" t="inlineStr">
        <is>
          <t>유형별로 n건씩 원문 표본 (파싱 · 청킹 점검용).</t>
        </is>
      </c>
      <c r="F136" s="10" t="n">
        <v>131</v>
      </c>
      <c r="G136" s="11" t="inlineStr"/>
      <c r="H136" s="12" t="inlineStr"/>
    </row>
    <row r="137">
      <c r="A137" s="5" t="inlineStr">
        <is>
          <t>lab_io.py</t>
        </is>
      </c>
      <c r="B137" s="10" t="inlineStr">
        <is>
          <t>공통</t>
        </is>
      </c>
      <c r="C137" s="5" t="inlineStr">
        <is>
          <t>read_table(path)</t>
        </is>
      </c>
      <c r="D137" s="10" t="inlineStr">
        <is>
          <t>함수</t>
        </is>
      </c>
      <c r="E137" s="5" t="inlineStr">
        <is>
          <t>CSV(utf-8 · utf-8-sig · cp949 자동) 또는 xlsx 읽기 — 엑셀에서 저장한 골든셋용.</t>
        </is>
      </c>
      <c r="F137" s="10" t="n">
        <v>140</v>
      </c>
      <c r="G137" s="11" t="inlineStr"/>
      <c r="H137" s="12" t="inlineStr"/>
    </row>
    <row r="138">
      <c r="A138" s="5" t="inlineStr">
        <is>
          <t>lab_io.py</t>
        </is>
      </c>
      <c r="B138" s="10" t="inlineStr">
        <is>
          <t>공통</t>
        </is>
      </c>
      <c r="C138" s="5" t="inlineStr">
        <is>
          <t>save(df, name, excel)</t>
        </is>
      </c>
      <c r="D138" s="10" t="inlineStr">
        <is>
          <t>함수</t>
        </is>
      </c>
      <c r="E138" s="5" t="inlineStr">
        <is>
          <t>out/ 폴더에 CSV(엑셀용 utf-8-sig)와 xlsx 로 저장. 경로를 돌려준다.</t>
        </is>
      </c>
      <c r="F138" s="10" t="n">
        <v>157</v>
      </c>
      <c r="G138" s="11" t="inlineStr"/>
      <c r="H138" s="12" t="inlineStr"/>
    </row>
    <row r="139">
      <c r="A139" s="20" t="inlineStr">
        <is>
          <t>lab_pipeline.py</t>
        </is>
      </c>
      <c r="B139" s="21" t="inlineStr">
        <is>
          <t>공통</t>
        </is>
      </c>
      <c r="C139" s="20" t="inlineStr">
        <is>
          <t>CRITERIA</t>
        </is>
      </c>
      <c r="D139" s="21" t="inlineStr">
        <is>
          <t>설정값</t>
        </is>
      </c>
      <c r="E139" s="20" t="inlineStr">
        <is>
          <t>딕셔너리 10 항목</t>
        </is>
      </c>
      <c r="F139" s="21" t="n">
        <v>14</v>
      </c>
      <c r="G139" s="11" t="inlineStr"/>
      <c r="H139" s="12" t="inlineStr"/>
    </row>
    <row r="140">
      <c r="A140" s="5" t="inlineStr">
        <is>
          <t>lab_pipeline.py</t>
        </is>
      </c>
      <c r="B140" s="10" t="inlineStr">
        <is>
          <t>공통</t>
        </is>
      </c>
      <c r="C140" s="5" t="inlineStr">
        <is>
          <t>required_meta()</t>
        </is>
      </c>
      <c r="D140" s="10" t="inlineStr">
        <is>
          <t>함수</t>
        </is>
      </c>
      <c r="E140" s="5" t="inlineStr"/>
      <c r="F140" s="10" t="n">
        <v>29</v>
      </c>
      <c r="G140" s="11" t="inlineStr"/>
      <c r="H140" s="12" t="inlineStr"/>
    </row>
    <row r="141">
      <c r="A141" s="5" t="inlineStr">
        <is>
          <t>lab_pipeline.py</t>
        </is>
      </c>
      <c r="B141" s="10" t="inlineStr">
        <is>
          <t>공통</t>
        </is>
      </c>
      <c r="C141" s="5" t="inlineStr">
        <is>
          <t>_rate(n, d)</t>
        </is>
      </c>
      <c r="D141" s="10" t="inlineStr">
        <is>
          <t>함수</t>
        </is>
      </c>
      <c r="E141" s="5" t="inlineStr"/>
      <c r="F141" s="10" t="n">
        <v>35</v>
      </c>
      <c r="G141" s="11" t="inlineStr"/>
      <c r="H141" s="12" t="inlineStr"/>
    </row>
    <row r="142">
      <c r="A142" s="5" t="inlineStr">
        <is>
          <t>lab_pipeline.py</t>
        </is>
      </c>
      <c r="B142" s="10" t="inlineStr">
        <is>
          <t>공통</t>
        </is>
      </c>
      <c r="C142" s="5" t="inlineStr">
        <is>
          <t>doc_integrity(raw)</t>
        </is>
      </c>
      <c r="D142" s="10" t="inlineStr">
        <is>
          <t>함수</t>
        </is>
      </c>
      <c r="E142" s="5" t="inlineStr">
        <is>
          <t>통합 문서 테이블 무결성 — ID · 본문 · 날짜 · 중복</t>
        </is>
      </c>
      <c r="F142" s="10" t="n">
        <v>40</v>
      </c>
      <c r="G142" s="11" t="inlineStr"/>
      <c r="H142" s="12" t="inlineStr"/>
    </row>
    <row r="143">
      <c r="A143" s="5" t="inlineStr">
        <is>
          <t>lab_pipeline.py</t>
        </is>
      </c>
      <c r="B143" s="10" t="inlineStr">
        <is>
          <t>공통</t>
        </is>
      </c>
      <c r="C143" s="5" t="inlineStr">
        <is>
          <t>meta_completeness(raw, required)</t>
        </is>
      </c>
      <c r="D143" s="10" t="inlineStr">
        <is>
          <t>함수</t>
        </is>
      </c>
      <c r="E143" s="5" t="inlineStr">
        <is>
          <t>소스 유형별 필수 메타 충족률 — 부족 항목이 수집 · 파싱 보완 과제</t>
        </is>
      </c>
      <c r="F143" s="10" t="n">
        <v>70</v>
      </c>
      <c r="G143" s="11" t="inlineStr"/>
      <c r="H143" s="12" t="inlineStr"/>
    </row>
    <row r="144">
      <c r="A144" s="5" t="inlineStr">
        <is>
          <t>lab_pipeline.py</t>
        </is>
      </c>
      <c r="B144" s="10" t="inlineStr">
        <is>
          <t>공통</t>
        </is>
      </c>
      <c r="C144" s="5" t="inlineStr">
        <is>
          <t>type_distribution(raw, chunks)</t>
        </is>
      </c>
      <c r="D144" s="10" t="inlineStr">
        <is>
          <t>함수</t>
        </is>
      </c>
      <c r="E144" s="5" t="inlineStr">
        <is>
          <t>소스 유형별 문서 · 청크 · 기간 분포 — 수집 편중 확인</t>
        </is>
      </c>
      <c r="F144" s="10" t="n">
        <v>93</v>
      </c>
      <c r="G144" s="11" t="inlineStr"/>
      <c r="H144" s="12" t="inlineStr"/>
    </row>
    <row r="145">
      <c r="A145" s="5" t="inlineStr">
        <is>
          <t>lab_pipeline.py</t>
        </is>
      </c>
      <c r="B145" s="10" t="inlineStr">
        <is>
          <t>공통</t>
        </is>
      </c>
      <c r="C145" s="5" t="inlineStr">
        <is>
          <t>chunk_integrity(raw, chunks, min_len)</t>
        </is>
      </c>
      <c r="D145" s="10" t="inlineStr">
        <is>
          <t>함수</t>
        </is>
      </c>
      <c r="E145" s="5" t="inlineStr">
        <is>
          <t>문서 ↔ 청크 연결 무결성 · 청크 품질</t>
        </is>
      </c>
      <c r="F145" s="10" t="n">
        <v>109</v>
      </c>
      <c r="G145" s="11" t="inlineStr"/>
      <c r="H145" s="12" t="inlineStr"/>
    </row>
    <row r="146">
      <c r="A146" s="5" t="inlineStr">
        <is>
          <t>lab_pipeline.py</t>
        </is>
      </c>
      <c r="B146" s="10" t="inlineStr">
        <is>
          <t>공통</t>
        </is>
      </c>
      <c r="C146" s="5" t="inlineStr">
        <is>
          <t>chunk_size_profile(chunks, raw, token)</t>
        </is>
      </c>
      <c r="D146" s="10" t="inlineStr">
        <is>
          <t>함수</t>
        </is>
      </c>
      <c r="E146" s="5" t="inlineStr">
        <is>
          <t>청크 길이 분포 — 소스 유형별 (임베딩 최대 길이 초과 여부 확인)</t>
        </is>
      </c>
      <c r="F146" s="10" t="n">
        <v>140</v>
      </c>
      <c r="G146" s="11" t="inlineStr"/>
      <c r="H146" s="12" t="inlineStr"/>
    </row>
    <row r="147">
      <c r="A147" s="5" t="inlineStr">
        <is>
          <t>lab_pipeline.py</t>
        </is>
      </c>
      <c r="B147" s="10" t="inlineStr">
        <is>
          <t>공통</t>
        </is>
      </c>
      <c r="C147" s="5" t="inlineStr">
        <is>
          <t>index_integrity(chunks, sample)</t>
        </is>
      </c>
      <c r="D147" s="10" t="inlineStr">
        <is>
          <t>함수</t>
        </is>
      </c>
      <c r="E147" s="5" t="inlineStr">
        <is>
          <t>Milvus 인덱싱 정합성 — 건수 일치 · 샘플 왕복 · 필드 구성</t>
        </is>
      </c>
      <c r="F147" s="10" t="n">
        <v>168</v>
      </c>
      <c r="G147" s="11" t="inlineStr"/>
      <c r="H147" s="12" t="inlineStr"/>
    </row>
    <row r="148">
      <c r="A148" s="5" t="inlineStr">
        <is>
          <t>lab_pipeline.py</t>
        </is>
      </c>
      <c r="B148" s="10" t="inlineStr">
        <is>
          <t>공통</t>
        </is>
      </c>
      <c r="C148" s="5" t="inlineStr">
        <is>
          <t>pipeline_report(*tables)</t>
        </is>
      </c>
      <c r="D148" s="10" t="inlineStr">
        <is>
          <t>함수</t>
        </is>
      </c>
      <c r="E148" s="5" t="inlineStr">
        <is>
          <t>단계별 점검표를 하나로 — 미달 항목만 빠르게 보기</t>
        </is>
      </c>
      <c r="F148" s="10" t="n">
        <v>205</v>
      </c>
      <c r="G148" s="11" t="inlineStr"/>
      <c r="H148" s="12" t="inlineStr"/>
    </row>
    <row r="149">
      <c r="A149" s="5" t="inlineStr">
        <is>
          <t>lab_pipeline.py</t>
        </is>
      </c>
      <c r="B149" s="10" t="inlineStr">
        <is>
          <t>공통</t>
        </is>
      </c>
      <c r="C149" s="5" t="inlineStr">
        <is>
          <t>failed_only(report)</t>
        </is>
      </c>
      <c r="D149" s="10" t="inlineStr">
        <is>
          <t>함수</t>
        </is>
      </c>
      <c r="E149" s="5" t="inlineStr">
        <is>
          <t>미달 항목 → 개선 과제 목록</t>
        </is>
      </c>
      <c r="F149" s="10" t="n">
        <v>227</v>
      </c>
      <c r="G149" s="11" t="inlineStr"/>
      <c r="H149" s="12" t="inlineStr"/>
    </row>
    <row r="150">
      <c r="A150" s="5" t="inlineStr">
        <is>
          <t>lab_ragas.py</t>
        </is>
      </c>
      <c r="B150" s="10" t="inlineStr">
        <is>
          <t>공통</t>
        </is>
      </c>
      <c r="C150" s="5" t="inlineStr">
        <is>
          <t>_grams(t, n)</t>
        </is>
      </c>
      <c r="D150" s="10" t="inlineStr">
        <is>
          <t>함수</t>
        </is>
      </c>
      <c r="E150" s="5" t="inlineStr"/>
      <c r="F150" s="10" t="n">
        <v>22</v>
      </c>
      <c r="G150" s="11" t="inlineStr"/>
      <c r="H150" s="12" t="inlineStr"/>
    </row>
    <row r="151">
      <c r="A151" s="5" t="inlineStr">
        <is>
          <t>lab_ragas.py</t>
        </is>
      </c>
      <c r="B151" s="10" t="inlineStr">
        <is>
          <t>공통</t>
        </is>
      </c>
      <c r="C151" s="5" t="inlineStr">
        <is>
          <t>_cov(a, b)</t>
        </is>
      </c>
      <c r="D151" s="10" t="inlineStr">
        <is>
          <t>함수</t>
        </is>
      </c>
      <c r="E151" s="5" t="inlineStr">
        <is>
          <t>a 의 3-gram 중 b 에 포함된 비율</t>
        </is>
      </c>
      <c r="F151" s="10" t="n">
        <v>27</v>
      </c>
      <c r="G151" s="11" t="inlineStr"/>
      <c r="H151" s="12" t="inlineStr"/>
    </row>
    <row r="152">
      <c r="A152" s="5" t="inlineStr">
        <is>
          <t>lab_ragas.py</t>
        </is>
      </c>
      <c r="B152" s="10" t="inlineStr">
        <is>
          <t>공통</t>
        </is>
      </c>
      <c r="C152" s="5" t="inlineStr">
        <is>
          <t>_sentences(text)</t>
        </is>
      </c>
      <c r="D152" s="10" t="inlineStr">
        <is>
          <t>함수</t>
        </is>
      </c>
      <c r="E152" s="5" t="inlineStr"/>
      <c r="F152" s="10" t="n">
        <v>33</v>
      </c>
      <c r="G152" s="11" t="inlineStr"/>
      <c r="H152" s="12" t="inlineStr"/>
    </row>
    <row r="153">
      <c r="A153" s="5" t="inlineStr">
        <is>
          <t>lab_ragas.py</t>
        </is>
      </c>
      <c r="B153" s="10" t="inlineStr">
        <is>
          <t>공통</t>
        </is>
      </c>
      <c r="C153" s="5" t="inlineStr">
        <is>
          <t>precision_at_k(rel, k)</t>
        </is>
      </c>
      <c r="D153" s="10" t="inlineStr">
        <is>
          <t>함수</t>
        </is>
      </c>
      <c r="E153" s="5" t="inlineStr">
        <is>
          <t>상위 k 중 정답 비율</t>
        </is>
      </c>
      <c r="F153" s="10" t="n">
        <v>38</v>
      </c>
      <c r="G153" s="11" t="inlineStr"/>
      <c r="H153" s="12" t="inlineStr"/>
    </row>
    <row r="154">
      <c r="A154" s="5" t="inlineStr">
        <is>
          <t>lab_ragas.py</t>
        </is>
      </c>
      <c r="B154" s="10" t="inlineStr">
        <is>
          <t>공통</t>
        </is>
      </c>
      <c r="C154" s="5" t="inlineStr">
        <is>
          <t>average_precision(rel)</t>
        </is>
      </c>
      <c r="D154" s="10" t="inlineStr">
        <is>
          <t>함수</t>
        </is>
      </c>
      <c r="E154" s="5" t="inlineStr">
        <is>
          <t>MAP 의 문항 단위 값</t>
        </is>
      </c>
      <c r="F154" s="10" t="n">
        <v>44</v>
      </c>
      <c r="G154" s="11" t="inlineStr"/>
      <c r="H154" s="12" t="inlineStr"/>
    </row>
    <row r="155">
      <c r="A155" s="5" t="inlineStr">
        <is>
          <t>lab_ragas.py</t>
        </is>
      </c>
      <c r="B155" s="10" t="inlineStr">
        <is>
          <t>공통</t>
        </is>
      </c>
      <c r="C155" s="5" t="inlineStr">
        <is>
          <t>context_precision(rel, k)</t>
        </is>
      </c>
      <c r="D155" s="10" t="inlineStr">
        <is>
          <t>함수</t>
        </is>
      </c>
      <c r="E155" s="5" t="inlineStr">
        <is>
          <t>RAGAS context precision 근사 — 상위 k 컨텍스트 중 정답 관련 비율</t>
        </is>
      </c>
      <c r="F155" s="10" t="n">
        <v>54</v>
      </c>
      <c r="G155" s="11" t="inlineStr"/>
      <c r="H155" s="12" t="inlineStr"/>
    </row>
    <row r="156">
      <c r="A156" s="5" t="inlineStr">
        <is>
          <t>lab_ragas.py</t>
        </is>
      </c>
      <c r="B156" s="10" t="inlineStr">
        <is>
          <t>공통</t>
        </is>
      </c>
      <c r="C156" s="5" t="inlineStr">
        <is>
          <t>context_recall(gold_text, contexts)</t>
        </is>
      </c>
      <c r="D156" s="10" t="inlineStr">
        <is>
          <t>함수</t>
        </is>
      </c>
      <c r="E156" s="5" t="inlineStr">
        <is>
          <t>RAGAS context recall 근사 — 정답 문장 내용이 검색 컨텍스트에 포함된 비율</t>
        </is>
      </c>
      <c r="F156" s="10" t="n">
        <v>59</v>
      </c>
      <c r="G156" s="11" t="inlineStr"/>
      <c r="H156" s="12" t="inlineStr"/>
    </row>
    <row r="157">
      <c r="A157" s="5" t="inlineStr">
        <is>
          <t>lab_ragas.py</t>
        </is>
      </c>
      <c r="B157" s="10" t="inlineStr">
        <is>
          <t>공통</t>
        </is>
      </c>
      <c r="C157" s="5" t="inlineStr">
        <is>
          <t>faithfulness(answer, contexts, th)</t>
        </is>
      </c>
      <c r="D157" s="10" t="inlineStr">
        <is>
          <t>함수</t>
        </is>
      </c>
      <c r="E157" s="5" t="inlineStr">
        <is>
          <t>답변 문장 중 컨텍스트에 근거가 있는 비율 (근거 없는 문장 = 환각 후보).</t>
        </is>
      </c>
      <c r="F157" s="10" t="n">
        <v>68</v>
      </c>
      <c r="G157" s="11" t="inlineStr"/>
      <c r="H157" s="12" t="inlineStr"/>
    </row>
    <row r="158">
      <c r="A158" s="5" t="inlineStr">
        <is>
          <t>lab_ragas.py</t>
        </is>
      </c>
      <c r="B158" s="10" t="inlineStr">
        <is>
          <t>공통</t>
        </is>
      </c>
      <c r="C158" s="5" t="inlineStr">
        <is>
          <t>answer_relevancy(question, answer, embedder)</t>
        </is>
      </c>
      <c r="D158" s="10" t="inlineStr">
        <is>
          <t>함수</t>
        </is>
      </c>
      <c r="E158" s="5" t="inlineStr">
        <is>
          <t>질문과 답변의 의미 유사도 (임베딩). 임베더 없으면 3-gram 겹침으로 근사.</t>
        </is>
      </c>
      <c r="F158" s="10" t="n">
        <v>84</v>
      </c>
      <c r="G158" s="11" t="inlineStr"/>
      <c r="H158" s="12" t="inlineStr"/>
    </row>
    <row r="159">
      <c r="A159" s="5" t="inlineStr">
        <is>
          <t>lab_ragas.py</t>
        </is>
      </c>
      <c r="B159" s="10" t="inlineStr">
        <is>
          <t>공통</t>
        </is>
      </c>
      <c r="C159" s="5" t="inlineStr">
        <is>
          <t>citation_accuracy(answer, contexts)</t>
        </is>
      </c>
      <c r="D159" s="10" t="inlineStr">
        <is>
          <t>함수</t>
        </is>
      </c>
      <c r="E159" s="5" t="inlineStr">
        <is>
          <t>인용 번호가 실제 컨텍스트를 가리키는지 — 번호 범위 + 해당 청크와의 겹침.</t>
        </is>
      </c>
      <c r="F159" s="10" t="n">
        <v>93</v>
      </c>
      <c r="G159" s="11" t="inlineStr"/>
      <c r="H159" s="12" t="inlineStr"/>
    </row>
    <row r="160">
      <c r="A160" s="5" t="inlineStr">
        <is>
          <t>lab_ragas.py</t>
        </is>
      </c>
      <c r="B160" s="10" t="inlineStr">
        <is>
          <t>공통</t>
        </is>
      </c>
      <c r="C160" s="5" t="inlineStr">
        <is>
          <t>refusal_correct(answer, is_no_answer)</t>
        </is>
      </c>
      <c r="D160" s="10" t="inlineStr">
        <is>
          <t>함수</t>
        </is>
      </c>
      <c r="E160" s="5" t="inlineStr">
        <is>
          <t>답없음 문항은 거절해야 정답 · 그 외 문항은 거절하면 오답</t>
        </is>
      </c>
      <c r="F160" s="10" t="n">
        <v>109</v>
      </c>
      <c r="G160" s="11" t="inlineStr"/>
      <c r="H160" s="12" t="inlineStr"/>
    </row>
    <row r="161">
      <c r="A161" s="5" t="inlineStr">
        <is>
          <t>lab_ragas.py</t>
        </is>
      </c>
      <c r="B161" s="10" t="inlineStr">
        <is>
          <t>공통</t>
        </is>
      </c>
      <c r="C161" s="5" t="inlineStr">
        <is>
          <t>structure_check(answer, q_type)</t>
        </is>
      </c>
      <c r="D161" s="10" t="inlineStr">
        <is>
          <t>함수</t>
        </is>
      </c>
      <c r="E161" s="5" t="inlineStr">
        <is>
          <t>수치 · 출처 · 시점 · 추정 표기 — 규칙 기반 구조 점검</t>
        </is>
      </c>
      <c r="F161" s="10" t="n">
        <v>115</v>
      </c>
      <c r="G161" s="11" t="inlineStr"/>
      <c r="H161" s="12" t="inlineStr"/>
    </row>
    <row r="162">
      <c r="A162" s="5" t="inlineStr">
        <is>
          <t>lab_ragas.py</t>
        </is>
      </c>
      <c r="B162" s="10" t="inlineStr">
        <is>
          <t>공통</t>
        </is>
      </c>
      <c r="C162" s="5" t="inlineStr">
        <is>
          <t>element_coverage(answer, must_include, th)</t>
        </is>
      </c>
      <c r="D162" s="10" t="inlineStr">
        <is>
          <t>함수</t>
        </is>
      </c>
      <c r="E162" s="5" t="inlineStr">
        <is>
          <t>골든셋의 필수 요소 충족률(auto 근사) — 요소 문구와 답변의 겹침으로 판정.</t>
        </is>
      </c>
      <c r="F162" s="10" t="n">
        <v>123</v>
      </c>
      <c r="G162" s="11" t="inlineStr"/>
      <c r="H162" s="12" t="inlineStr"/>
    </row>
    <row r="163">
      <c r="A163" s="5" t="inlineStr">
        <is>
          <t>lab_ragas.py</t>
        </is>
      </c>
      <c r="B163" s="10" t="inlineStr">
        <is>
          <t>공통</t>
        </is>
      </c>
      <c r="C163" s="5" t="inlineStr">
        <is>
          <t>_keyword_hit(elem, answer)</t>
        </is>
      </c>
      <c r="D163" s="10" t="inlineStr">
        <is>
          <t>함수</t>
        </is>
      </c>
      <c r="E163" s="5" t="inlineStr">
        <is>
          <t>요소 문구의 핵심 토큰이 답변에 있는지 (0~1)</t>
        </is>
      </c>
      <c r="F163" s="10" t="n">
        <v>139</v>
      </c>
      <c r="G163" s="11" t="inlineStr"/>
      <c r="H163" s="12" t="inlineStr"/>
    </row>
    <row r="164">
      <c r="A164" s="20" t="inlineStr">
        <is>
          <t>lab_ragas.py</t>
        </is>
      </c>
      <c r="B164" s="21" t="inlineStr">
        <is>
          <t>공통</t>
        </is>
      </c>
      <c r="C164" s="20" t="inlineStr">
        <is>
          <t>JUDGE_PROMPT</t>
        </is>
      </c>
      <c r="D164" s="21" t="inlineStr">
        <is>
          <t>설정값</t>
        </is>
      </c>
      <c r="E164" s="20" t="inlineStr">
        <is>
          <t>값 = 아래 [질문] · [근거 자료] · [답변] 을 보고 항목별로 0 또는 1 로만 채점하라.
채점 항목:
1.</t>
        </is>
      </c>
      <c r="F164" s="21" t="n">
        <v>149</v>
      </c>
      <c r="G164" s="11" t="inlineStr"/>
      <c r="H164" s="12" t="inlineStr"/>
    </row>
    <row r="165">
      <c r="A165" s="5" t="inlineStr">
        <is>
          <t>lab_ragas.py</t>
        </is>
      </c>
      <c r="B165" s="10" t="inlineStr">
        <is>
          <t>공통</t>
        </is>
      </c>
      <c r="C165" s="5" t="inlineStr">
        <is>
          <t>judge_prompt(question, answer, contexts, must)</t>
        </is>
      </c>
      <c r="D165" s="10" t="inlineStr">
        <is>
          <t>함수</t>
        </is>
      </c>
      <c r="E165" s="5" t="inlineStr"/>
      <c r="F165" s="10" t="n">
        <v>167</v>
      </c>
      <c r="G165" s="11" t="inlineStr"/>
      <c r="H165" s="12" t="inlineStr"/>
    </row>
    <row r="166">
      <c r="A166" s="5" t="inlineStr">
        <is>
          <t>lab_ragas.py</t>
        </is>
      </c>
      <c r="B166" s="10" t="inlineStr">
        <is>
          <t>공통</t>
        </is>
      </c>
      <c r="C166" s="5" t="inlineStr">
        <is>
          <t>parse_judge(text)</t>
        </is>
      </c>
      <c r="D166" s="10" t="inlineStr">
        <is>
          <t>함수</t>
        </is>
      </c>
      <c r="E166" s="5" t="inlineStr">
        <is>
          <t>LLM 채점 응답(JSON) 파싱 — 실패 시 빈 dict</t>
        </is>
      </c>
      <c r="F166" s="10" t="n">
        <v>172</v>
      </c>
      <c r="G166" s="11" t="inlineStr"/>
      <c r="H166" s="12" t="inlineStr"/>
    </row>
    <row r="167">
      <c r="A167" s="20" t="inlineStr">
        <is>
          <t>lab_ragas.py</t>
        </is>
      </c>
      <c r="B167" s="21" t="inlineStr">
        <is>
          <t>공통</t>
        </is>
      </c>
      <c r="C167" s="20" t="inlineStr">
        <is>
          <t>METRIC_CATALOG</t>
        </is>
      </c>
      <c r="D167" s="21" t="inlineStr">
        <is>
          <t>설정값</t>
        </is>
      </c>
      <c r="E167" s="20" t="inlineStr">
        <is>
          <t>목록 16 개</t>
        </is>
      </c>
      <c r="F167" s="21" t="n">
        <v>185</v>
      </c>
      <c r="G167" s="11" t="inlineStr"/>
      <c r="H167" s="12" t="inlineStr"/>
    </row>
    <row r="168">
      <c r="A168" s="5" t="inlineStr">
        <is>
          <t>lab_ragas.py</t>
        </is>
      </c>
      <c r="B168" s="10" t="inlineStr">
        <is>
          <t>공통</t>
        </is>
      </c>
      <c r="C168" s="5" t="inlineStr">
        <is>
          <t>catalog()</t>
        </is>
      </c>
      <c r="D168" s="10" t="inlineStr">
        <is>
          <t>함수</t>
        </is>
      </c>
      <c r="E168" s="5" t="inlineStr"/>
      <c r="F168" s="10" t="n">
        <v>206</v>
      </c>
      <c r="G168" s="11" t="inlineStr"/>
      <c r="H168" s="12" t="inlineStr"/>
    </row>
    <row r="169">
      <c r="A169" s="5" t="inlineStr">
        <is>
          <t>lab_ragas.py</t>
        </is>
      </c>
      <c r="B169" s="10" t="inlineStr">
        <is>
          <t>공통</t>
        </is>
      </c>
      <c r="C169" s="5" t="inlineStr">
        <is>
          <t>evaluate_answers(rows, embedder)</t>
        </is>
      </c>
      <c r="D169" s="10" t="inlineStr">
        <is>
          <t>함수</t>
        </is>
      </c>
      <c r="E169" s="5" t="inlineStr">
        <is>
          <t>rows: [{qid, question, answer, contexts[list], must_include, is_no_answer}]</t>
        </is>
      </c>
      <c r="F169" s="10" t="n">
        <v>210</v>
      </c>
      <c r="G169" s="11" t="inlineStr"/>
      <c r="H169" s="12" t="inlineStr"/>
    </row>
    <row r="170">
      <c r="A170" s="5" t="inlineStr">
        <is>
          <t>lab_sample.py</t>
        </is>
      </c>
      <c r="B170" s="10" t="inlineStr">
        <is>
          <t>샘플</t>
        </is>
      </c>
      <c r="C170" s="5" t="inlineStr">
        <is>
          <t>raw_docs()</t>
        </is>
      </c>
      <c r="D170" s="10" t="inlineStr">
        <is>
          <t>함수</t>
        </is>
      </c>
      <c r="E170" s="5" t="inlineStr">
        <is>
          <t>원문 테이블 대용 (표준 컬럼).</t>
        </is>
      </c>
      <c r="F170" s="10" t="n">
        <v>59</v>
      </c>
      <c r="G170" s="11" t="inlineStr"/>
      <c r="H170" s="12" t="inlineStr"/>
    </row>
    <row r="171">
      <c r="A171" s="5" t="inlineStr">
        <is>
          <t>lab_sample.py</t>
        </is>
      </c>
      <c r="B171" s="10" t="inlineStr">
        <is>
          <t>샘플</t>
        </is>
      </c>
      <c r="C171" s="5" t="inlineStr">
        <is>
          <t>chunks(size)</t>
        </is>
      </c>
      <c r="D171" s="10" t="inlineStr">
        <is>
          <t>함수</t>
        </is>
      </c>
      <c r="E171" s="5" t="inlineStr">
        <is>
          <t>'현재 청킹' 흉내: 고정 길이로 자른다 → 문장 잘림 · 표 쪼개짐이 생긴다.</t>
        </is>
      </c>
      <c r="F171" s="10" t="n">
        <v>74</v>
      </c>
      <c r="G171" s="11" t="inlineStr"/>
      <c r="H171" s="12" t="inlineStr"/>
    </row>
    <row r="172">
      <c r="A172" s="5" t="inlineStr">
        <is>
          <t>lab_sample.py</t>
        </is>
      </c>
      <c r="B172" s="10" t="inlineStr">
        <is>
          <t>샘플</t>
        </is>
      </c>
      <c r="C172" s="5" t="inlineStr">
        <is>
          <t>golden()</t>
        </is>
      </c>
      <c r="D172" s="10" t="inlineStr">
        <is>
          <t>함수</t>
        </is>
      </c>
      <c r="E172" s="5" t="inlineStr">
        <is>
          <t>평가용 골든셋 (정답 = 문서 ID + 정답 문장).</t>
        </is>
      </c>
      <c r="F172" s="10" t="n">
        <v>84</v>
      </c>
      <c r="G172" s="11" t="inlineStr"/>
      <c r="H172" s="12" t="inlineStr"/>
    </row>
    <row r="173">
      <c r="A173" s="20" t="inlineStr">
        <is>
          <t>lab_sample100.py</t>
        </is>
      </c>
      <c r="B173" s="21" t="inlineStr">
        <is>
          <t>샘플</t>
        </is>
      </c>
      <c r="C173" s="20" t="inlineStr">
        <is>
          <t>SEED</t>
        </is>
      </c>
      <c r="D173" s="21" t="inlineStr">
        <is>
          <t>설정값</t>
        </is>
      </c>
      <c r="E173" s="20" t="inlineStr">
        <is>
          <t>값 = 20260925</t>
        </is>
      </c>
      <c r="F173" s="21" t="n">
        <v>20</v>
      </c>
      <c r="G173" s="11" t="inlineStr"/>
      <c r="H173" s="12" t="inlineStr"/>
    </row>
    <row r="174">
      <c r="A174" s="20" t="inlineStr">
        <is>
          <t>lab_sample100.py</t>
        </is>
      </c>
      <c r="B174" s="21" t="inlineStr">
        <is>
          <t>샘플</t>
        </is>
      </c>
      <c r="C174" s="20" t="inlineStr">
        <is>
          <t>MAKERS</t>
        </is>
      </c>
      <c r="D174" s="21" t="inlineStr">
        <is>
          <t>설정값</t>
        </is>
      </c>
      <c r="E174" s="20" t="inlineStr">
        <is>
          <t>목록 8 개</t>
        </is>
      </c>
      <c r="F174" s="21" t="n">
        <v>23</v>
      </c>
      <c r="G174" s="11" t="inlineStr"/>
      <c r="H174" s="12" t="inlineStr"/>
    </row>
    <row r="175">
      <c r="A175" s="20" t="inlineStr">
        <is>
          <t>lab_sample100.py</t>
        </is>
      </c>
      <c r="B175" s="21" t="inlineStr">
        <is>
          <t>샘플</t>
        </is>
      </c>
      <c r="C175" s="20" t="inlineStr">
        <is>
          <t>BUYERS</t>
        </is>
      </c>
      <c r="D175" s="21" t="inlineStr">
        <is>
          <t>설정값</t>
        </is>
      </c>
      <c r="E175" s="20" t="inlineStr">
        <is>
          <t>목록 8 개</t>
        </is>
      </c>
      <c r="F175" s="21" t="n">
        <v>24</v>
      </c>
      <c r="G175" s="11" t="inlineStr"/>
      <c r="H175" s="12" t="inlineStr"/>
    </row>
    <row r="176">
      <c r="A176" s="20" t="inlineStr">
        <is>
          <t>lab_sample100.py</t>
        </is>
      </c>
      <c r="B176" s="21" t="inlineStr">
        <is>
          <t>샘플</t>
        </is>
      </c>
      <c r="C176" s="20" t="inlineStr">
        <is>
          <t>PRODUCTS</t>
        </is>
      </c>
      <c r="D176" s="21" t="inlineStr">
        <is>
          <t>설정값</t>
        </is>
      </c>
      <c r="E176" s="20" t="inlineStr">
        <is>
          <t>목록 8 개</t>
        </is>
      </c>
      <c r="F176" s="21" t="n">
        <v>25</v>
      </c>
      <c r="G176" s="11" t="inlineStr"/>
      <c r="H176" s="12" t="inlineStr"/>
    </row>
    <row r="177">
      <c r="A177" s="20" t="inlineStr">
        <is>
          <t>lab_sample100.py</t>
        </is>
      </c>
      <c r="B177" s="21" t="inlineStr">
        <is>
          <t>샘플</t>
        </is>
      </c>
      <c r="C177" s="20" t="inlineStr">
        <is>
          <t>FABS</t>
        </is>
      </c>
      <c r="D177" s="21" t="inlineStr">
        <is>
          <t>설정값</t>
        </is>
      </c>
      <c r="E177" s="20" t="inlineStr">
        <is>
          <t>목록 7 개</t>
        </is>
      </c>
      <c r="F177" s="21" t="n">
        <v>26</v>
      </c>
      <c r="G177" s="11" t="inlineStr"/>
      <c r="H177" s="12" t="inlineStr"/>
    </row>
    <row r="178">
      <c r="A178" s="20" t="inlineStr">
        <is>
          <t>lab_sample100.py</t>
        </is>
      </c>
      <c r="B178" s="21" t="inlineStr">
        <is>
          <t>샘플</t>
        </is>
      </c>
      <c r="C178" s="20" t="inlineStr">
        <is>
          <t>PRESS</t>
        </is>
      </c>
      <c r="D178" s="21" t="inlineStr">
        <is>
          <t>설정값</t>
        </is>
      </c>
      <c r="E178" s="20" t="inlineStr">
        <is>
          <t>목록 6 개</t>
        </is>
      </c>
      <c r="F178" s="21" t="n">
        <v>27</v>
      </c>
      <c r="G178" s="11" t="inlineStr"/>
      <c r="H178" s="12" t="inlineStr"/>
    </row>
    <row r="179">
      <c r="A179" s="20" t="inlineStr">
        <is>
          <t>lab_sample100.py</t>
        </is>
      </c>
      <c r="B179" s="21" t="inlineStr">
        <is>
          <t>샘플</t>
        </is>
      </c>
      <c r="C179" s="20" t="inlineStr">
        <is>
          <t>BROKERS</t>
        </is>
      </c>
      <c r="D179" s="21" t="inlineStr">
        <is>
          <t>설정값</t>
        </is>
      </c>
      <c r="E179" s="20" t="inlineStr">
        <is>
          <t>목록 5 개</t>
        </is>
      </c>
      <c r="F179" s="21" t="n">
        <v>28</v>
      </c>
      <c r="G179" s="11" t="inlineStr"/>
      <c r="H179" s="12" t="inlineStr"/>
    </row>
    <row r="180">
      <c r="A180" s="20" t="inlineStr">
        <is>
          <t>lab_sample100.py</t>
        </is>
      </c>
      <c r="B180" s="21" t="inlineStr">
        <is>
          <t>샘플</t>
        </is>
      </c>
      <c r="C180" s="20" t="inlineStr">
        <is>
          <t>INSTS</t>
        </is>
      </c>
      <c r="D180" s="21" t="inlineStr">
        <is>
          <t>설정값</t>
        </is>
      </c>
      <c r="E180" s="20" t="inlineStr">
        <is>
          <t>목록 6 개</t>
        </is>
      </c>
      <c r="F180" s="21" t="n">
        <v>29</v>
      </c>
      <c r="G180" s="11" t="inlineStr"/>
      <c r="H180" s="12" t="inlineStr"/>
    </row>
    <row r="181">
      <c r="A181" s="20" t="inlineStr">
        <is>
          <t>lab_sample100.py</t>
        </is>
      </c>
      <c r="B181" s="21" t="inlineStr">
        <is>
          <t>샘플</t>
        </is>
      </c>
      <c r="C181" s="20" t="inlineStr">
        <is>
          <t>DEPTS</t>
        </is>
      </c>
      <c r="D181" s="21" t="inlineStr">
        <is>
          <t>설정값</t>
        </is>
      </c>
      <c r="E181" s="20" t="inlineStr">
        <is>
          <t>목록 6 개</t>
        </is>
      </c>
      <c r="F181" s="21" t="n">
        <v>30</v>
      </c>
      <c r="G181" s="11" t="inlineStr"/>
      <c r="H181" s="12" t="inlineStr"/>
    </row>
    <row r="182">
      <c r="A182" s="20" t="inlineStr">
        <is>
          <t>lab_sample100.py</t>
        </is>
      </c>
      <c r="B182" s="21" t="inlineStr">
        <is>
          <t>샘플</t>
        </is>
      </c>
      <c r="C182" s="20" t="inlineStr">
        <is>
          <t>PEOPLE</t>
        </is>
      </c>
      <c r="D182" s="21" t="inlineStr">
        <is>
          <t>설정값</t>
        </is>
      </c>
      <c r="E182" s="20" t="inlineStr">
        <is>
          <t>목록 10 개</t>
        </is>
      </c>
      <c r="F182" s="21" t="n">
        <v>31</v>
      </c>
      <c r="G182" s="11" t="inlineStr"/>
      <c r="H182" s="12" t="inlineStr"/>
    </row>
    <row r="183">
      <c r="A183" s="20" t="inlineStr">
        <is>
          <t>lab_sample100.py</t>
        </is>
      </c>
      <c r="B183" s="21" t="inlineStr">
        <is>
          <t>샘플</t>
        </is>
      </c>
      <c r="C183" s="20" t="inlineStr">
        <is>
          <t>QUARTERS</t>
        </is>
      </c>
      <c r="D183" s="21" t="inlineStr">
        <is>
          <t>설정값</t>
        </is>
      </c>
      <c r="E183" s="20" t="inlineStr">
        <is>
          <t>목록 5 개</t>
        </is>
      </c>
      <c r="F183" s="21" t="n">
        <v>32</v>
      </c>
      <c r="G183" s="11" t="inlineStr"/>
      <c r="H183" s="12" t="inlineStr"/>
    </row>
    <row r="184">
      <c r="A184" s="20" t="inlineStr">
        <is>
          <t>lab_sample100.py</t>
        </is>
      </c>
      <c r="B184" s="21" t="inlineStr">
        <is>
          <t>샘플</t>
        </is>
      </c>
      <c r="C184" s="20" t="inlineStr">
        <is>
          <t>MONTHS</t>
        </is>
      </c>
      <c r="D184" s="21" t="inlineStr">
        <is>
          <t>설정값</t>
        </is>
      </c>
      <c r="E184" s="20" t="inlineStr">
        <is>
          <t>[f'2026-{m:02d}' for m in range(4, 10)]</t>
        </is>
      </c>
      <c r="F184" s="21" t="n">
        <v>33</v>
      </c>
      <c r="G184" s="11" t="inlineStr"/>
      <c r="H184" s="12" t="inlineStr"/>
    </row>
    <row r="185">
      <c r="A185" s="20" t="inlineStr">
        <is>
          <t>lab_sample100.py</t>
        </is>
      </c>
      <c r="B185" s="21" t="inlineStr">
        <is>
          <t>샘플</t>
        </is>
      </c>
      <c r="C185" s="20" t="inlineStr">
        <is>
          <t>TOPICS</t>
        </is>
      </c>
      <c r="D185" s="21" t="inlineStr">
        <is>
          <t>설정값</t>
        </is>
      </c>
      <c r="E185" s="20" t="inlineStr">
        <is>
          <t>목록 8 개</t>
        </is>
      </c>
      <c r="F185" s="21" t="n">
        <v>36</v>
      </c>
      <c r="G185" s="11" t="inlineStr"/>
      <c r="H185" s="12" t="inlineStr"/>
    </row>
    <row r="186">
      <c r="A186" s="5" t="inlineStr">
        <is>
          <t>lab_sample100.py</t>
        </is>
      </c>
      <c r="B186" s="10" t="inlineStr">
        <is>
          <t>샘플</t>
        </is>
      </c>
      <c r="C186" s="5" t="inlineStr">
        <is>
          <t>_has_batchim(w)</t>
        </is>
      </c>
      <c r="D186" s="10" t="inlineStr">
        <is>
          <t>함수</t>
        </is>
      </c>
      <c r="E186" s="5" t="inlineStr"/>
      <c r="F186" s="10" t="n">
        <v>95</v>
      </c>
      <c r="G186" s="11" t="inlineStr"/>
      <c r="H186" s="12" t="inlineStr"/>
    </row>
    <row r="187">
      <c r="A187" s="5" t="inlineStr">
        <is>
          <t>lab_sample100.py</t>
        </is>
      </c>
      <c r="B187" s="10" t="inlineStr">
        <is>
          <t>샘플</t>
        </is>
      </c>
      <c r="C187" s="5" t="inlineStr">
        <is>
          <t>_fix_josa(text, names)</t>
        </is>
      </c>
      <c r="D187" s="10" t="inlineStr">
        <is>
          <t>함수</t>
        </is>
      </c>
      <c r="E187" s="5" t="inlineStr">
        <is>
          <t>고유명사 뒤 조사를 받침에 맞게 교정 — '마이크론가' → '마이크론이'</t>
        </is>
      </c>
      <c r="F187" s="10" t="n">
        <v>106</v>
      </c>
      <c r="G187" s="11" t="inlineStr"/>
      <c r="H187" s="12" t="inlineStr"/>
    </row>
    <row r="188">
      <c r="A188" s="5" t="inlineStr">
        <is>
          <t>lab_sample100.py</t>
        </is>
      </c>
      <c r="B188" s="10" t="inlineStr">
        <is>
          <t>샘플</t>
        </is>
      </c>
      <c r="C188" s="5" t="inlineStr">
        <is>
          <t>_names()</t>
        </is>
      </c>
      <c r="D188" s="10" t="inlineStr">
        <is>
          <t>함수</t>
        </is>
      </c>
      <c r="E188" s="5" t="inlineStr"/>
      <c r="F188" s="10" t="n">
        <v>120</v>
      </c>
      <c r="G188" s="11" t="inlineStr"/>
      <c r="H188" s="12" t="inlineStr"/>
    </row>
    <row r="189">
      <c r="A189" s="5" t="inlineStr">
        <is>
          <t>lab_sample100.py</t>
        </is>
      </c>
      <c r="B189" s="10" t="inlineStr">
        <is>
          <t>샘플</t>
        </is>
      </c>
      <c r="C189" s="5" t="inlineStr">
        <is>
          <t>_fill(tpl, r)</t>
        </is>
      </c>
      <c r="D189" s="10" t="inlineStr">
        <is>
          <t>함수</t>
        </is>
      </c>
      <c r="E189" s="5" t="inlineStr"/>
      <c r="F189" s="10" t="n">
        <v>128</v>
      </c>
      <c r="G189" s="11" t="inlineStr"/>
      <c r="H189" s="12" t="inlineStr"/>
    </row>
    <row r="190">
      <c r="A190" s="5" t="inlineStr">
        <is>
          <t>lab_sample100.py</t>
        </is>
      </c>
      <c r="B190" s="10" t="inlineStr">
        <is>
          <t>샘플</t>
        </is>
      </c>
      <c r="C190" s="5" t="inlineStr">
        <is>
          <t>_make_body(r, n_sent)</t>
        </is>
      </c>
      <c r="D190" s="10" t="inlineStr">
        <is>
          <t>함수</t>
        </is>
      </c>
      <c r="E190" s="5" t="inlineStr">
        <is>
          <t>주제 하나를 골라 제목 · 본문 문장을 생성. 뒤에 연관 주제 문단을 덧붙여 분량을 키운다.</t>
        </is>
      </c>
      <c r="F190" s="10" t="n">
        <v>145</v>
      </c>
      <c r="G190" s="11" t="inlineStr"/>
      <c r="H190" s="12" t="inlineStr"/>
    </row>
    <row r="191">
      <c r="A191" s="5" t="inlineStr">
        <is>
          <t>lab_sample100.py</t>
        </is>
      </c>
      <c r="B191" s="10" t="inlineStr">
        <is>
          <t>샘플</t>
        </is>
      </c>
      <c r="C191" s="5" t="inlineStr">
        <is>
          <t>_news(r, title, body)</t>
        </is>
      </c>
      <c r="D191" s="10" t="inlineStr">
        <is>
          <t>함수</t>
        </is>
      </c>
      <c r="E191" s="5" t="inlineStr"/>
      <c r="F191" s="10" t="n">
        <v>159</v>
      </c>
      <c r="G191" s="11" t="inlineStr"/>
      <c r="H191" s="12" t="inlineStr"/>
    </row>
    <row r="192">
      <c r="A192" s="5" t="inlineStr">
        <is>
          <t>lab_sample100.py</t>
        </is>
      </c>
      <c r="B192" s="10" t="inlineStr">
        <is>
          <t>샘플</t>
        </is>
      </c>
      <c r="C192" s="5" t="inlineStr">
        <is>
          <t>_broker(r, title, body)</t>
        </is>
      </c>
      <c r="D192" s="10" t="inlineStr">
        <is>
          <t>함수</t>
        </is>
      </c>
      <c r="E192" s="5" t="inlineStr"/>
      <c r="F192" s="10" t="n">
        <v>166</v>
      </c>
      <c r="G192" s="11" t="inlineStr"/>
      <c r="H192" s="12" t="inlineStr"/>
    </row>
    <row r="193">
      <c r="A193" s="5" t="inlineStr">
        <is>
          <t>lab_sample100.py</t>
        </is>
      </c>
      <c r="B193" s="10" t="inlineStr">
        <is>
          <t>샘플</t>
        </is>
      </c>
      <c r="C193" s="5" t="inlineStr">
        <is>
          <t>_inst(r, title, body)</t>
        </is>
      </c>
      <c r="D193" s="10" t="inlineStr">
        <is>
          <t>함수</t>
        </is>
      </c>
      <c r="E193" s="5" t="inlineStr"/>
      <c r="F193" s="10" t="n">
        <v>177</v>
      </c>
      <c r="G193" s="11" t="inlineStr"/>
      <c r="H193" s="12" t="inlineStr"/>
    </row>
    <row r="194">
      <c r="A194" s="5" t="inlineStr">
        <is>
          <t>lab_sample100.py</t>
        </is>
      </c>
      <c r="B194" s="10" t="inlineStr">
        <is>
          <t>샘플</t>
        </is>
      </c>
      <c r="C194" s="5" t="inlineStr">
        <is>
          <t>_email(r, title, body)</t>
        </is>
      </c>
      <c r="D194" s="10" t="inlineStr">
        <is>
          <t>함수</t>
        </is>
      </c>
      <c r="E194" s="5" t="inlineStr"/>
      <c r="F194" s="10" t="n">
        <v>184</v>
      </c>
      <c r="G194" s="11" t="inlineStr"/>
      <c r="H194" s="12" t="inlineStr"/>
    </row>
    <row r="195">
      <c r="A195" s="5" t="inlineStr">
        <is>
          <t>lab_sample100.py</t>
        </is>
      </c>
      <c r="B195" s="10" t="inlineStr">
        <is>
          <t>샘플</t>
        </is>
      </c>
      <c r="C195" s="5" t="inlineStr">
        <is>
          <t>_meeting(r, title, body)</t>
        </is>
      </c>
      <c r="D195" s="10" t="inlineStr">
        <is>
          <t>함수</t>
        </is>
      </c>
      <c r="E195" s="5" t="inlineStr"/>
      <c r="F195" s="10" t="n">
        <v>192</v>
      </c>
      <c r="G195" s="11" t="inlineStr"/>
      <c r="H195" s="12" t="inlineStr"/>
    </row>
    <row r="196">
      <c r="A196" s="5" t="inlineStr">
        <is>
          <t>lab_sample100.py</t>
        </is>
      </c>
      <c r="B196" s="10" t="inlineStr">
        <is>
          <t>샘플</t>
        </is>
      </c>
      <c r="C196" s="5" t="inlineStr">
        <is>
          <t>_report(r, title, body)</t>
        </is>
      </c>
      <c r="D196" s="10" t="inlineStr">
        <is>
          <t>함수</t>
        </is>
      </c>
      <c r="E196" s="5" t="inlineStr"/>
      <c r="F196" s="10" t="n">
        <v>200</v>
      </c>
      <c r="G196" s="11" t="inlineStr"/>
      <c r="H196" s="12" t="inlineStr"/>
    </row>
    <row r="197">
      <c r="A197" s="5" t="inlineStr">
        <is>
          <t>lab_sample100.py</t>
        </is>
      </c>
      <c r="B197" s="10" t="inlineStr">
        <is>
          <t>샘플</t>
        </is>
      </c>
      <c r="C197" s="5" t="inlineStr">
        <is>
          <t>_exec(r, title, body)</t>
        </is>
      </c>
      <c r="D197" s="10" t="inlineStr">
        <is>
          <t>함수</t>
        </is>
      </c>
      <c r="E197" s="5" t="inlineStr"/>
      <c r="F197" s="10" t="n">
        <v>208</v>
      </c>
      <c r="G197" s="11" t="inlineStr"/>
      <c r="H197" s="12" t="inlineStr"/>
    </row>
    <row r="198">
      <c r="A198" s="20" t="inlineStr">
        <is>
          <t>lab_sample100.py</t>
        </is>
      </c>
      <c r="B198" s="21" t="inlineStr">
        <is>
          <t>샘플</t>
        </is>
      </c>
      <c r="C198" s="20" t="inlineStr">
        <is>
          <t>WRAP</t>
        </is>
      </c>
      <c r="D198" s="21" t="inlineStr">
        <is>
          <t>설정값</t>
        </is>
      </c>
      <c r="E198" s="20" t="inlineStr">
        <is>
          <t>딕셔너리 7 항목</t>
        </is>
      </c>
      <c r="F198" s="21" t="n">
        <v>216</v>
      </c>
      <c r="G198" s="11" t="inlineStr"/>
      <c r="H198" s="12" t="inlineStr"/>
    </row>
    <row r="199">
      <c r="A199" s="20" t="inlineStr">
        <is>
          <t>lab_sample100.py</t>
        </is>
      </c>
      <c r="B199" s="21" t="inlineStr">
        <is>
          <t>샘플</t>
        </is>
      </c>
      <c r="C199" s="20" t="inlineStr">
        <is>
          <t>MIX</t>
        </is>
      </c>
      <c r="D199" s="21" t="inlineStr">
        <is>
          <t>설정값</t>
        </is>
      </c>
      <c r="E199" s="20" t="inlineStr">
        <is>
          <t>목록 7 개</t>
        </is>
      </c>
      <c r="F199" s="21" t="n">
        <v>218</v>
      </c>
      <c r="G199" s="11" t="inlineStr"/>
      <c r="H199" s="12" t="inlineStr"/>
    </row>
    <row r="200">
      <c r="A200" s="20" t="inlineStr">
        <is>
          <t>lab_sample100.py</t>
        </is>
      </c>
      <c r="B200" s="21" t="inlineStr">
        <is>
          <t>샘플</t>
        </is>
      </c>
      <c r="C200" s="20" t="inlineStr">
        <is>
          <t>PREFIX</t>
        </is>
      </c>
      <c r="D200" s="21" t="inlineStr">
        <is>
          <t>설정값</t>
        </is>
      </c>
      <c r="E200" s="20" t="inlineStr">
        <is>
          <t>딕셔너리 7 항목</t>
        </is>
      </c>
      <c r="F200" s="21" t="n">
        <v>220</v>
      </c>
      <c r="G200" s="11" t="inlineStr"/>
      <c r="H200" s="12" t="inlineStr"/>
    </row>
    <row r="201">
      <c r="A201" s="20" t="inlineStr">
        <is>
          <t>lab_sample100.py</t>
        </is>
      </c>
      <c r="B201" s="21" t="inlineStr">
        <is>
          <t>샘플</t>
        </is>
      </c>
      <c r="C201" s="20" t="inlineStr">
        <is>
          <t>SEC</t>
        </is>
      </c>
      <c r="D201" s="21" t="inlineStr">
        <is>
          <t>설정값</t>
        </is>
      </c>
      <c r="E201" s="20" t="inlineStr">
        <is>
          <t>{c: lab_sources.security(c) for c in PREFIX}</t>
        </is>
      </c>
      <c r="F201" s="21" t="n">
        <v>223</v>
      </c>
      <c r="G201" s="11" t="inlineStr"/>
      <c r="H201" s="12" t="inlineStr"/>
    </row>
    <row r="202">
      <c r="A202" s="5" t="inlineStr">
        <is>
          <t>lab_sample100.py</t>
        </is>
      </c>
      <c r="B202" s="10" t="inlineStr">
        <is>
          <t>샘플</t>
        </is>
      </c>
      <c r="C202" s="5" t="inlineStr">
        <is>
          <t>_build()</t>
        </is>
      </c>
      <c r="D202" s="10" t="inlineStr">
        <is>
          <t>함수</t>
        </is>
      </c>
      <c r="E202" s="5" t="inlineStr"/>
      <c r="F202" s="10" t="n">
        <v>227</v>
      </c>
      <c r="G202" s="11" t="inlineStr"/>
      <c r="H202" s="12" t="inlineStr"/>
    </row>
    <row r="203">
      <c r="A203" s="5" t="inlineStr">
        <is>
          <t>lab_sample100.py</t>
        </is>
      </c>
      <c r="B203" s="10" t="inlineStr">
        <is>
          <t>샘플</t>
        </is>
      </c>
      <c r="C203" s="5" t="inlineStr">
        <is>
          <t>raw_docs()</t>
        </is>
      </c>
      <c r="D203" s="10" t="inlineStr">
        <is>
          <t>함수</t>
        </is>
      </c>
      <c r="E203" s="5" t="inlineStr">
        <is>
          <t>통합 문서 테이블 — 100건 (lab_sample.raw_docs 와 같은 컬럼)</t>
        </is>
      </c>
      <c r="F203" s="10" t="n">
        <v>262</v>
      </c>
      <c r="G203" s="11" t="inlineStr"/>
      <c r="H203" s="12" t="inlineStr"/>
    </row>
    <row r="204">
      <c r="A204" s="5" t="inlineStr">
        <is>
          <t>lab_sample100.py</t>
        </is>
      </c>
      <c r="B204" s="10" t="inlineStr">
        <is>
          <t>샘플</t>
        </is>
      </c>
      <c r="C204" s="5" t="inlineStr">
        <is>
          <t>_split(text, size)</t>
        </is>
      </c>
      <c r="D204" s="10" t="inlineStr">
        <is>
          <t>함수</t>
        </is>
      </c>
      <c r="E204" s="5" t="inlineStr">
        <is>
          <t>문단 경계 우선 · 표(| 로 시작하는 줄 묶음)는 통째로 한 청크</t>
        </is>
      </c>
      <c r="F204" s="10" t="n">
        <v>269</v>
      </c>
      <c r="G204" s="11" t="inlineStr"/>
      <c r="H204" s="12" t="inlineStr"/>
    </row>
    <row r="205">
      <c r="A205" s="5" t="inlineStr">
        <is>
          <t>lab_sample100.py</t>
        </is>
      </c>
      <c r="B205" s="10" t="inlineStr">
        <is>
          <t>샘플</t>
        </is>
      </c>
      <c r="C205" s="5" t="inlineStr">
        <is>
          <t>chunks(size)</t>
        </is>
      </c>
      <c r="D205" s="10" t="inlineStr">
        <is>
          <t>함수</t>
        </is>
      </c>
      <c r="E205" s="5" t="inlineStr">
        <is>
          <t>청크 테이블 — DOC_ID 로 원문 연결. 고아 청크 1건 · 청킹 누락 문서 1건 포함</t>
        </is>
      </c>
      <c r="F205" s="10" t="n">
        <v>288</v>
      </c>
      <c r="G205" s="11" t="inlineStr"/>
      <c r="H205" s="12" t="inlineStr"/>
    </row>
    <row r="206">
      <c r="A206" s="20" t="inlineStr">
        <is>
          <t>lab_sample100.py</t>
        </is>
      </c>
      <c r="B206" s="21" t="inlineStr">
        <is>
          <t>샘플</t>
        </is>
      </c>
      <c r="C206" s="20" t="inlineStr">
        <is>
          <t>Q_TPL</t>
        </is>
      </c>
      <c r="D206" s="21" t="inlineStr">
        <is>
          <t>설정값</t>
        </is>
      </c>
      <c r="E206" s="20" t="inlineStr">
        <is>
          <t>딕셔너리 8 항목</t>
        </is>
      </c>
      <c r="F206" s="21" t="n">
        <v>308</v>
      </c>
      <c r="G206" s="11" t="inlineStr"/>
      <c r="H206" s="12" t="inlineStr"/>
    </row>
    <row r="207">
      <c r="A207" s="20" t="inlineStr">
        <is>
          <t>lab_sample100.py</t>
        </is>
      </c>
      <c r="B207" s="21" t="inlineStr">
        <is>
          <t>샘플</t>
        </is>
      </c>
      <c r="C207" s="20" t="inlineStr">
        <is>
          <t>NO_ANSWER</t>
        </is>
      </c>
      <c r="D207" s="21" t="inlineStr">
        <is>
          <t>설정값</t>
        </is>
      </c>
      <c r="E207" s="20" t="inlineStr">
        <is>
          <t>목록 3 개</t>
        </is>
      </c>
      <c r="F207" s="21" t="n">
        <v>318</v>
      </c>
      <c r="G207" s="11" t="inlineStr"/>
      <c r="H207" s="12" t="inlineStr"/>
    </row>
    <row r="208">
      <c r="A208" s="5" t="inlineStr">
        <is>
          <t>lab_sample100.py</t>
        </is>
      </c>
      <c r="B208" s="10" t="inlineStr">
        <is>
          <t>샘플</t>
        </is>
      </c>
      <c r="C208" s="5" t="inlineStr">
        <is>
          <t>golden()</t>
        </is>
      </c>
      <c r="D208" s="10" t="inlineStr">
        <is>
          <t>함수</t>
        </is>
      </c>
      <c r="E208" s="5" t="inlineStr">
        <is>
          <t>평가용 골든셋 30문항 — 정답 문서 · 정답 문장이 실제 코퍼스에 존재</t>
        </is>
      </c>
      <c r="F208" s="10" t="n">
        <v>325</v>
      </c>
      <c r="G208" s="11" t="inlineStr"/>
      <c r="H208" s="12" t="inlineStr"/>
    </row>
    <row r="209">
      <c r="A209" s="20" t="inlineStr">
        <is>
          <t>lab_sample_sql.py</t>
        </is>
      </c>
      <c r="B209" s="21" t="inlineStr">
        <is>
          <t>샘플</t>
        </is>
      </c>
      <c r="C209" s="20" t="inlineStr">
        <is>
          <t>PRODUCTS</t>
        </is>
      </c>
      <c r="D209" s="21" t="inlineStr">
        <is>
          <t>설정값</t>
        </is>
      </c>
      <c r="E209" s="20" t="inlineStr">
        <is>
          <t>목록 2 개</t>
        </is>
      </c>
      <c r="F209" s="21" t="n">
        <v>9</v>
      </c>
      <c r="G209" s="11" t="inlineStr"/>
      <c r="H209" s="12" t="inlineStr"/>
    </row>
    <row r="210">
      <c r="A210" s="20" t="inlineStr">
        <is>
          <t>lab_sample_sql.py</t>
        </is>
      </c>
      <c r="B210" s="21" t="inlineStr">
        <is>
          <t>샘플</t>
        </is>
      </c>
      <c r="C210" s="20" t="inlineStr">
        <is>
          <t>CUSTOMERS</t>
        </is>
      </c>
      <c r="D210" s="21" t="inlineStr">
        <is>
          <t>설정값</t>
        </is>
      </c>
      <c r="E210" s="20" t="inlineStr">
        <is>
          <t>목록 2 개</t>
        </is>
      </c>
      <c r="F210" s="21" t="n">
        <v>10</v>
      </c>
      <c r="G210" s="11" t="inlineStr"/>
      <c r="H210" s="12" t="inlineStr"/>
    </row>
    <row r="211">
      <c r="A211" s="20" t="inlineStr">
        <is>
          <t>lab_sample_sql.py</t>
        </is>
      </c>
      <c r="B211" s="21" t="inlineStr">
        <is>
          <t>샘플</t>
        </is>
      </c>
      <c r="C211" s="20" t="inlineStr">
        <is>
          <t>REGIONS</t>
        </is>
      </c>
      <c r="D211" s="21" t="inlineStr">
        <is>
          <t>설정값</t>
        </is>
      </c>
      <c r="E211" s="20" t="inlineStr">
        <is>
          <t>목록 2 개</t>
        </is>
      </c>
      <c r="F211" s="21" t="n">
        <v>11</v>
      </c>
      <c r="G211" s="11" t="inlineStr"/>
      <c r="H211" s="12" t="inlineStr"/>
    </row>
    <row r="212">
      <c r="A212" s="5" t="inlineStr">
        <is>
          <t>lab_sample_sql.py</t>
        </is>
      </c>
      <c r="B212" s="10" t="inlineStr">
        <is>
          <t>샘플</t>
        </is>
      </c>
      <c r="C212" s="5" t="inlineStr">
        <is>
          <t>_build()</t>
        </is>
      </c>
      <c r="D212" s="10" t="inlineStr">
        <is>
          <t>함수</t>
        </is>
      </c>
      <c r="E212" s="5" t="inlineStr"/>
      <c r="F212" s="10" t="n">
        <v>14</v>
      </c>
      <c r="G212" s="11" t="inlineStr"/>
      <c r="H212" s="12" t="inlineStr"/>
    </row>
    <row r="213">
      <c r="A213" s="5" t="inlineStr">
        <is>
          <t>lab_sample_sql.py</t>
        </is>
      </c>
      <c r="B213" s="10" t="inlineStr">
        <is>
          <t>샘플</t>
        </is>
      </c>
      <c r="C213" s="5" t="inlineStr">
        <is>
          <t>connect()</t>
        </is>
      </c>
      <c r="D213" s="10" t="inlineStr">
        <is>
          <t>함수</t>
        </is>
      </c>
      <c r="E213" s="5" t="inlineStr"/>
      <c r="F213" s="10" t="n">
        <v>49</v>
      </c>
      <c r="G213" s="11" t="inlineStr"/>
      <c r="H213" s="12" t="inlineStr"/>
    </row>
    <row r="214">
      <c r="A214" s="5" t="inlineStr">
        <is>
          <t>lab_sample_sql.py</t>
        </is>
      </c>
      <c r="B214" s="10" t="inlineStr">
        <is>
          <t>샘플</t>
        </is>
      </c>
      <c r="C214" s="5" t="inlineStr">
        <is>
          <t>golden()</t>
        </is>
      </c>
      <c r="D214" s="10" t="inlineStr">
        <is>
          <t>함수</t>
        </is>
      </c>
      <c r="E214" s="5" t="inlineStr">
        <is>
          <t>정형 골든셋 (질문 → 정답 SQL). 정답 수치는 정답 SQL 을 실행해 만든다.</t>
        </is>
      </c>
      <c r="F214" s="10" t="n">
        <v>56</v>
      </c>
      <c r="G214" s="11" t="inlineStr"/>
      <c r="H214" s="12" t="inlineStr"/>
    </row>
    <row r="215">
      <c r="A215" s="5" t="inlineStr">
        <is>
          <t>lab_search.py</t>
        </is>
      </c>
      <c r="B215" s="10" t="inlineStr">
        <is>
          <t>공통</t>
        </is>
      </c>
      <c r="C215" s="5" t="inlineStr">
        <is>
          <t>tok_space(text)</t>
        </is>
      </c>
      <c r="D215" s="10" t="inlineStr">
        <is>
          <t>함수</t>
        </is>
      </c>
      <c r="E215" s="5" t="inlineStr">
        <is>
          <t>공백 분리 (조사가 붙은 채로 색인됨 — 현행 점검용 기준선).</t>
        </is>
      </c>
      <c r="F215" s="10" t="n">
        <v>23</v>
      </c>
      <c r="G215" s="11" t="inlineStr"/>
      <c r="H215" s="12" t="inlineStr"/>
    </row>
    <row r="216">
      <c r="A216" s="5" t="inlineStr">
        <is>
          <t>lab_search.py</t>
        </is>
      </c>
      <c r="B216" s="10" t="inlineStr">
        <is>
          <t>공통</t>
        </is>
      </c>
      <c r="C216" s="5" t="inlineStr">
        <is>
          <t>tok_josa(text)</t>
        </is>
      </c>
      <c r="D216" s="10" t="inlineStr">
        <is>
          <t>함수</t>
        </is>
      </c>
      <c r="E216" s="5" t="inlineStr">
        <is>
          <t>공백 분리 + 흔한 조사 제거 (Kiwi 없을 때의 근사).</t>
        </is>
      </c>
      <c r="F216" s="10" t="n">
        <v>28</v>
      </c>
      <c r="G216" s="11" t="inlineStr"/>
      <c r="H216" s="12" t="inlineStr"/>
    </row>
    <row r="217">
      <c r="A217" s="5" t="inlineStr">
        <is>
          <t>lab_search.py</t>
        </is>
      </c>
      <c r="B217" s="10" t="inlineStr">
        <is>
          <t>공통</t>
        </is>
      </c>
      <c r="C217" s="5" t="inlineStr">
        <is>
          <t>tok_kiwi(text)</t>
        </is>
      </c>
      <c r="D217" s="10" t="inlineStr">
        <is>
          <t>함수</t>
        </is>
      </c>
      <c r="E217" s="5" t="inlineStr">
        <is>
          <t>Kiwi 형태소 분석: 명사 · 동사/형용사 어간 · 외국어 · 숫자만 남김.</t>
        </is>
      </c>
      <c r="F217" s="10" t="n">
        <v>38</v>
      </c>
      <c r="G217" s="11" t="inlineStr"/>
      <c r="H217" s="12" t="inlineStr"/>
    </row>
    <row r="218">
      <c r="A218" s="5" t="inlineStr">
        <is>
          <t>lab_search.py</t>
        </is>
      </c>
      <c r="B218" s="10" t="inlineStr">
        <is>
          <t>공통</t>
        </is>
      </c>
      <c r="C218" s="5" t="inlineStr">
        <is>
          <t>get_tokenizer(name)</t>
        </is>
      </c>
      <c r="D218" s="10" t="inlineStr">
        <is>
          <t>함수</t>
        </is>
      </c>
      <c r="E218" s="5" t="inlineStr">
        <is>
          <t>'space' | 'josa' | 'kiwi' (kiwi 없으면 josa로 대체하고 알린다).</t>
        </is>
      </c>
      <c r="F218" s="10" t="n">
        <v>48</v>
      </c>
      <c r="G218" s="11" t="inlineStr"/>
      <c r="H218" s="12" t="inlineStr"/>
    </row>
    <row r="219">
      <c r="A219" s="22" t="inlineStr">
        <is>
          <t>lab_search.py</t>
        </is>
      </c>
      <c r="B219" s="23" t="inlineStr">
        <is>
          <t>공통</t>
        </is>
      </c>
      <c r="C219" s="22" t="inlineStr">
        <is>
          <t>class BM25</t>
        </is>
      </c>
      <c r="D219" s="23" t="inlineStr">
        <is>
          <t>클래스</t>
        </is>
      </c>
      <c r="E219" s="22" t="inlineStr">
        <is>
          <t>외부 의존성 없는 BM25 (역색인). 수십만 청크까지 메모리 안에서 돈다.</t>
        </is>
      </c>
      <c r="F219" s="23" t="n">
        <v>63</v>
      </c>
      <c r="G219" s="11" t="inlineStr"/>
      <c r="H219" s="12" t="inlineStr"/>
    </row>
    <row r="220">
      <c r="A220" s="5" t="inlineStr">
        <is>
          <t>lab_search.py</t>
        </is>
      </c>
      <c r="B220" s="10" t="inlineStr">
        <is>
          <t>공통</t>
        </is>
      </c>
      <c r="C220" s="5" t="inlineStr">
        <is>
          <t xml:space="preserve">  BM25.__init__(self, tokenize, k1, b)</t>
        </is>
      </c>
      <c r="D220" s="10" t="inlineStr">
        <is>
          <t>메서드</t>
        </is>
      </c>
      <c r="E220" s="5" t="inlineStr"/>
      <c r="F220" s="10" t="n">
        <v>66</v>
      </c>
      <c r="G220" s="11" t="inlineStr"/>
      <c r="H220" s="12" t="inlineStr"/>
    </row>
    <row r="221">
      <c r="A221" s="5" t="inlineStr">
        <is>
          <t>lab_search.py</t>
        </is>
      </c>
      <c r="B221" s="10" t="inlineStr">
        <is>
          <t>공통</t>
        </is>
      </c>
      <c r="C221" s="5" t="inlineStr">
        <is>
          <t xml:space="preserve">  BM25.fit(self, texts)</t>
        </is>
      </c>
      <c r="D221" s="10" t="inlineStr">
        <is>
          <t>메서드</t>
        </is>
      </c>
      <c r="E221" s="5" t="inlineStr"/>
      <c r="F221" s="10" t="n">
        <v>69</v>
      </c>
      <c r="G221" s="11" t="inlineStr"/>
      <c r="H221" s="12" t="inlineStr"/>
    </row>
    <row r="222">
      <c r="A222" s="5" t="inlineStr">
        <is>
          <t>lab_search.py</t>
        </is>
      </c>
      <c r="B222" s="10" t="inlineStr">
        <is>
          <t>공통</t>
        </is>
      </c>
      <c r="C222" s="5" t="inlineStr">
        <is>
          <t xml:space="preserve">  BM25.search(self, query, k)</t>
        </is>
      </c>
      <c r="D222" s="10" t="inlineStr">
        <is>
          <t>메서드</t>
        </is>
      </c>
      <c r="E222" s="5" t="inlineStr"/>
      <c r="F222" s="10" t="n">
        <v>85</v>
      </c>
      <c r="G222" s="11" t="inlineStr"/>
      <c r="H222" s="12" t="inlineStr"/>
    </row>
    <row r="223">
      <c r="A223" s="5" t="inlineStr">
        <is>
          <t>lab_search.py</t>
        </is>
      </c>
      <c r="B223" s="10" t="inlineStr">
        <is>
          <t>공통</t>
        </is>
      </c>
      <c r="C223" s="5" t="inlineStr">
        <is>
          <t>rrf(ranked_lists, k, weights)</t>
        </is>
      </c>
      <c r="D223" s="10" t="inlineStr">
        <is>
          <t>함수</t>
        </is>
      </c>
      <c r="E223" s="5" t="inlineStr">
        <is>
          <t>Reciprocal Rank Fusion. ranked_lists: [[id, id, ...], ...] → [(id, score)] 내림차순.</t>
        </is>
      </c>
      <c r="F223" s="10" t="n">
        <v>95</v>
      </c>
      <c r="G223" s="11" t="inlineStr"/>
      <c r="H223" s="12" t="inlineStr"/>
    </row>
    <row r="224">
      <c r="A224" s="5" t="inlineStr">
        <is>
          <t>lab_search.py</t>
        </is>
      </c>
      <c r="B224" s="10" t="inlineStr">
        <is>
          <t>공통</t>
        </is>
      </c>
      <c r="C224" s="5" t="inlineStr">
        <is>
          <t>_jaccard_matrix(texts, k)</t>
        </is>
      </c>
      <c r="D224" s="10" t="inlineStr">
        <is>
          <t>함수</t>
        </is>
      </c>
      <c r="E224" s="5" t="inlineStr"/>
      <c r="F224" s="10" t="n">
        <v>105</v>
      </c>
      <c r="G224" s="11" t="inlineStr"/>
      <c r="H224" s="12" t="inlineStr"/>
    </row>
    <row r="225">
      <c r="A225" s="5" t="inlineStr">
        <is>
          <t>lab_search.py</t>
        </is>
      </c>
      <c r="B225" s="10" t="inlineStr">
        <is>
          <t>공통</t>
        </is>
      </c>
      <c r="C225" s="5" t="inlineStr">
        <is>
          <t>mmr(rel_scores, sim, lam, top_n)</t>
        </is>
      </c>
      <c r="D225" s="10" t="inlineStr">
        <is>
          <t>함수</t>
        </is>
      </c>
      <c r="E225" s="5" t="inlineStr">
        <is>
          <t>Maximal Marginal Relevance. rel_scores: 관련도(리랭크 점수), sim: 후보 간 유사도 행렬 → 선택 인덱스 목록.</t>
        </is>
      </c>
      <c r="F225" s="10" t="n">
        <v>116</v>
      </c>
      <c r="G225" s="11" t="inlineStr"/>
      <c r="H225" s="12" t="inlineStr"/>
    </row>
    <row r="226">
      <c r="A226" s="5" t="inlineStr">
        <is>
          <t>lab_search.py</t>
        </is>
      </c>
      <c r="B226" s="10" t="inlineStr">
        <is>
          <t>공통</t>
        </is>
      </c>
      <c r="C226" s="5" t="inlineStr">
        <is>
          <t>cap_per_doc(df, max_per_doc)</t>
        </is>
      </c>
      <c r="D226" s="10" t="inlineStr">
        <is>
          <t>함수</t>
        </is>
      </c>
      <c r="E226" s="5" t="inlineStr">
        <is>
          <t>문서당 청크 수 상한.</t>
        </is>
      </c>
      <c r="F226" s="10" t="n">
        <v>130</v>
      </c>
      <c r="G226" s="11" t="inlineStr"/>
      <c r="H226" s="12" t="inlineStr"/>
    </row>
    <row r="227">
      <c r="A227" s="5" t="inlineStr">
        <is>
          <t>lab_search.py</t>
        </is>
      </c>
      <c r="B227" s="10" t="inlineStr">
        <is>
          <t>공통</t>
        </is>
      </c>
      <c r="C227" s="5" t="inlineStr">
        <is>
          <t>_fp16()</t>
        </is>
      </c>
      <c r="D227" s="10" t="inlineStr">
        <is>
          <t>함수</t>
        </is>
      </c>
      <c r="E227" s="5" t="inlineStr">
        <is>
          <t>GPU가 있을 때만 fp16. Windows CPU 환경에서 fp16 강제는 오류·저속의 원인.</t>
        </is>
      </c>
      <c r="F227" s="10" t="n">
        <v>136</v>
      </c>
      <c r="G227" s="11" t="inlineStr"/>
      <c r="H227" s="12" t="inlineStr"/>
    </row>
    <row r="228">
      <c r="A228" s="5" t="inlineStr">
        <is>
          <t>lab_search.py</t>
        </is>
      </c>
      <c r="B228" s="10" t="inlineStr">
        <is>
          <t>공통</t>
        </is>
      </c>
      <c r="C228" s="5" t="inlineStr">
        <is>
          <t>_hash_vec(text, dim)</t>
        </is>
      </c>
      <c r="D228" s="10" t="inlineStr">
        <is>
          <t>함수</t>
        </is>
      </c>
      <c r="E228" s="5" t="inlineStr">
        <is>
          <t>샘플 모드용 가짜 임베딩(토큰 + 글자 3-gram 해시). 의미가 아니라 표면 유사도라는 점에 주의.</t>
        </is>
      </c>
      <c r="F228" s="10" t="n">
        <v>145</v>
      </c>
      <c r="G228" s="11" t="inlineStr"/>
      <c r="H228" s="12" t="inlineStr"/>
    </row>
    <row r="229">
      <c r="A229" s="5" t="inlineStr">
        <is>
          <t>lab_search.py</t>
        </is>
      </c>
      <c r="B229" s="10" t="inlineStr">
        <is>
          <t>공통</t>
        </is>
      </c>
      <c r="C229" s="5" t="inlineStr">
        <is>
          <t>_api_hint(what, url, model, r)</t>
        </is>
      </c>
      <c r="D229" s="10" t="inlineStr">
        <is>
          <t>함수</t>
        </is>
      </c>
      <c r="E229" s="5" t="inlineStr">
        <is>
          <t>API 호출 실패 시 원인과 조치를 한 번에 보여 준다.</t>
        </is>
      </c>
      <c r="F229" s="10" t="n">
        <v>157</v>
      </c>
      <c r="G229" s="11" t="inlineStr"/>
      <c r="H229" s="12" t="inlineStr"/>
    </row>
    <row r="230">
      <c r="A230" s="5" t="inlineStr">
        <is>
          <t>lab_search.py</t>
        </is>
      </c>
      <c r="B230" s="10" t="inlineStr">
        <is>
          <t>공통</t>
        </is>
      </c>
      <c r="C230" s="5" t="inlineStr">
        <is>
          <t>list_models(kind)</t>
        </is>
      </c>
      <c r="D230" s="10" t="inlineStr">
        <is>
          <t>함수</t>
        </is>
      </c>
      <c r="E230" s="5" t="inlineStr">
        <is>
          <t>지금 키로 쓸 수 있는 모델 이름을 조회한다 — 모델 404 가 날 때 확인용.</t>
        </is>
      </c>
      <c r="F230" s="10" t="n">
        <v>178</v>
      </c>
      <c r="G230" s="11" t="inlineStr"/>
      <c r="H230" s="12" t="inlineStr"/>
    </row>
    <row r="231">
      <c r="A231" s="22" t="inlineStr">
        <is>
          <t>lab_search.py</t>
        </is>
      </c>
      <c r="B231" s="23" t="inlineStr">
        <is>
          <t>공통</t>
        </is>
      </c>
      <c r="C231" s="22" t="inlineStr">
        <is>
          <t>class Embedder</t>
        </is>
      </c>
      <c r="D231" s="23" t="inlineStr">
        <is>
          <t>클래스</t>
        </is>
      </c>
      <c r="E231" s="22" t="inlineStr">
        <is>
          <t>encode(texts) → {'dense': (n, d) 정규화 행렬, 'sparse': [ {token_id: weight}, ... ] 또는 None}</t>
        </is>
      </c>
      <c r="F231" s="23" t="n">
        <v>214</v>
      </c>
      <c r="G231" s="11" t="inlineStr"/>
      <c r="H231" s="12" t="inlineStr"/>
    </row>
    <row r="232">
      <c r="A232" s="5" t="inlineStr">
        <is>
          <t>lab_search.py</t>
        </is>
      </c>
      <c r="B232" s="10" t="inlineStr">
        <is>
          <t>공통</t>
        </is>
      </c>
      <c r="C232" s="5" t="inlineStr">
        <is>
          <t xml:space="preserve">  Embedder.__init__(self, mode, max_length)</t>
        </is>
      </c>
      <c r="D232" s="10" t="inlineStr">
        <is>
          <t>메서드</t>
        </is>
      </c>
      <c r="E232" s="5" t="inlineStr"/>
      <c r="F232" s="10" t="n">
        <v>217</v>
      </c>
      <c r="G232" s="11" t="inlineStr"/>
      <c r="H232" s="12" t="inlineStr"/>
    </row>
    <row r="233">
      <c r="A233" s="5" t="inlineStr">
        <is>
          <t>lab_search.py</t>
        </is>
      </c>
      <c r="B233" s="10" t="inlineStr">
        <is>
          <t>공통</t>
        </is>
      </c>
      <c r="C233" s="5" t="inlineStr">
        <is>
          <t xml:space="preserve">  Embedder._cache_path(self)</t>
        </is>
      </c>
      <c r="D233" s="10" t="inlineStr">
        <is>
          <t>메서드</t>
        </is>
      </c>
      <c r="E233" s="5" t="inlineStr"/>
      <c r="F233" s="10" t="n">
        <v>235</v>
      </c>
      <c r="G233" s="11" t="inlineStr"/>
      <c r="H233" s="12" t="inlineStr"/>
    </row>
    <row r="234">
      <c r="A234" s="5" t="inlineStr">
        <is>
          <t>lab_search.py</t>
        </is>
      </c>
      <c r="B234" s="10" t="inlineStr">
        <is>
          <t>공통</t>
        </is>
      </c>
      <c r="C234" s="5" t="inlineStr">
        <is>
          <t xml:space="preserve">  Embedder._cache_load(self)</t>
        </is>
      </c>
      <c r="D234" s="10" t="inlineStr">
        <is>
          <t>메서드</t>
        </is>
      </c>
      <c r="E234" s="5" t="inlineStr"/>
      <c r="F234" s="10" t="n">
        <v>241</v>
      </c>
      <c r="G234" s="11" t="inlineStr"/>
      <c r="H234" s="12" t="inlineStr"/>
    </row>
    <row r="235">
      <c r="A235" s="5" t="inlineStr">
        <is>
          <t>lab_search.py</t>
        </is>
      </c>
      <c r="B235" s="10" t="inlineStr">
        <is>
          <t>공통</t>
        </is>
      </c>
      <c r="C235" s="5" t="inlineStr">
        <is>
          <t xml:space="preserve">  Embedder._cache_save(self)</t>
        </is>
      </c>
      <c r="D235" s="10" t="inlineStr">
        <is>
          <t>메서드</t>
        </is>
      </c>
      <c r="E235" s="5" t="inlineStr"/>
      <c r="F235" s="10" t="n">
        <v>254</v>
      </c>
      <c r="G235" s="11" t="inlineStr"/>
      <c r="H235" s="12" t="inlineStr"/>
    </row>
    <row r="236">
      <c r="A236" s="5" t="inlineStr">
        <is>
          <t>lab_search.py</t>
        </is>
      </c>
      <c r="B236" s="10" t="inlineStr">
        <is>
          <t>공통</t>
        </is>
      </c>
      <c r="C236" s="5" t="inlineStr">
        <is>
          <t xml:space="preserve">  Embedder._post(self, batch)</t>
        </is>
      </c>
      <c r="D236" s="10" t="inlineStr">
        <is>
          <t>메서드</t>
        </is>
      </c>
      <c r="E236" s="5" t="inlineStr">
        <is>
          <t>임베딩 1회 호출 — 429 는 대기 후 재시도(최대 4회)</t>
        </is>
      </c>
      <c r="F236" s="10" t="n">
        <v>263</v>
      </c>
      <c r="G236" s="11" t="inlineStr"/>
      <c r="H236" s="12" t="inlineStr"/>
    </row>
    <row r="237">
      <c r="A237" s="5" t="inlineStr">
        <is>
          <t>lab_search.py</t>
        </is>
      </c>
      <c r="B237" s="10" t="inlineStr">
        <is>
          <t>공통</t>
        </is>
      </c>
      <c r="C237" s="5" t="inlineStr">
        <is>
          <t xml:space="preserve">  Embedder.encode(self, texts, batch_size)</t>
        </is>
      </c>
      <c r="D237" s="10" t="inlineStr">
        <is>
          <t>메서드</t>
        </is>
      </c>
      <c r="E237" s="5" t="inlineStr"/>
      <c r="F237" s="10" t="n">
        <v>291</v>
      </c>
      <c r="G237" s="11" t="inlineStr"/>
      <c r="H237" s="12" t="inlineStr"/>
    </row>
    <row r="238">
      <c r="A238" s="5" t="inlineStr">
        <is>
          <t>lab_search.py</t>
        </is>
      </c>
      <c r="B238" s="10" t="inlineStr">
        <is>
          <t>공통</t>
        </is>
      </c>
      <c r="C238" s="5" t="inlineStr">
        <is>
          <t>sparse_dot(a, b)</t>
        </is>
      </c>
      <c r="D238" s="10" t="inlineStr">
        <is>
          <t>함수</t>
        </is>
      </c>
      <c r="E238" s="5" t="inlineStr"/>
      <c r="F238" s="10" t="n">
        <v>326</v>
      </c>
      <c r="G238" s="11" t="inlineStr"/>
      <c r="H238" s="12" t="inlineStr"/>
    </row>
    <row r="239">
      <c r="A239" s="22" t="inlineStr">
        <is>
          <t>lab_search.py</t>
        </is>
      </c>
      <c r="B239" s="23" t="inlineStr">
        <is>
          <t>공통</t>
        </is>
      </c>
      <c r="C239" s="22" t="inlineStr">
        <is>
          <t>class Reranker</t>
        </is>
      </c>
      <c r="D239" s="23" t="inlineStr">
        <is>
          <t>클래스</t>
        </is>
      </c>
      <c r="E239" s="22" t="inlineStr"/>
      <c r="F239" s="23" t="n">
        <v>333</v>
      </c>
      <c r="G239" s="11" t="inlineStr"/>
      <c r="H239" s="12" t="inlineStr"/>
    </row>
    <row r="240">
      <c r="A240" s="5" t="inlineStr">
        <is>
          <t>lab_search.py</t>
        </is>
      </c>
      <c r="B240" s="10" t="inlineStr">
        <is>
          <t>공통</t>
        </is>
      </c>
      <c r="C240" s="5" t="inlineStr">
        <is>
          <t xml:space="preserve">  Reranker.__init__(self, mode)</t>
        </is>
      </c>
      <c r="D240" s="10" t="inlineStr">
        <is>
          <t>메서드</t>
        </is>
      </c>
      <c r="E240" s="5" t="inlineStr"/>
      <c r="F240" s="10" t="n">
        <v>334</v>
      </c>
      <c r="G240" s="11" t="inlineStr"/>
      <c r="H240" s="12" t="inlineStr"/>
    </row>
    <row r="241">
      <c r="A241" s="5" t="inlineStr">
        <is>
          <t>lab_search.py</t>
        </is>
      </c>
      <c r="B241" s="10" t="inlineStr">
        <is>
          <t>공통</t>
        </is>
      </c>
      <c r="C241" s="5" t="inlineStr">
        <is>
          <t xml:space="preserve">  Reranker.score(self, query, texts, batch_size)</t>
        </is>
      </c>
      <c r="D241" s="10" t="inlineStr">
        <is>
          <t>메서드</t>
        </is>
      </c>
      <c r="E241" s="5" t="inlineStr">
        <is>
          <t>관련도 점수 목록. mode=none 이면 None (순서 유지).</t>
        </is>
      </c>
      <c r="F241" s="10" t="n">
        <v>346</v>
      </c>
      <c r="G241" s="11" t="inlineStr"/>
      <c r="H241" s="12" t="inlineStr"/>
    </row>
    <row r="242">
      <c r="A242" s="22" t="inlineStr">
        <is>
          <t>lab_search.py</t>
        </is>
      </c>
      <c r="B242" s="23" t="inlineStr">
        <is>
          <t>공통</t>
        </is>
      </c>
      <c r="C242" s="22" t="inlineStr">
        <is>
          <t>class MilvusSearcher</t>
        </is>
      </c>
      <c r="D242" s="23" t="inlineStr">
        <is>
          <t>클래스</t>
        </is>
      </c>
      <c r="E242" s="22" t="inlineStr"/>
      <c r="F242" s="23" t="n">
        <v>374</v>
      </c>
      <c r="G242" s="11" t="inlineStr"/>
      <c r="H242" s="12" t="inlineStr"/>
    </row>
    <row r="243">
      <c r="A243" s="5" t="inlineStr">
        <is>
          <t>lab_search.py</t>
        </is>
      </c>
      <c r="B243" s="10" t="inlineStr">
        <is>
          <t>공통</t>
        </is>
      </c>
      <c r="C243" s="5" t="inlineStr">
        <is>
          <t xml:space="preserve">  MilvusSearcher.__init__(self)</t>
        </is>
      </c>
      <c r="D243" s="10" t="inlineStr">
        <is>
          <t>메서드</t>
        </is>
      </c>
      <c r="E243" s="5" t="inlineStr"/>
      <c r="F243" s="10" t="n">
        <v>375</v>
      </c>
      <c r="G243" s="11" t="inlineStr"/>
      <c r="H243" s="12" t="inlineStr"/>
    </row>
    <row r="244">
      <c r="A244" s="5" t="inlineStr">
        <is>
          <t>lab_search.py</t>
        </is>
      </c>
      <c r="B244" s="10" t="inlineStr">
        <is>
          <t>공통</t>
        </is>
      </c>
      <c r="C244" s="5" t="inlineStr">
        <is>
          <t xml:space="preserve">  MilvusSearcher.describe(self)</t>
        </is>
      </c>
      <c r="D244" s="10" t="inlineStr">
        <is>
          <t>메서드</t>
        </is>
      </c>
      <c r="E244" s="5" t="inlineStr">
        <is>
          <t>스키마 · 인덱스 · 건수 → (fields_df, indexes_df, row_count).</t>
        </is>
      </c>
      <c r="F244" s="10" t="n">
        <v>381</v>
      </c>
      <c r="G244" s="11" t="inlineStr"/>
      <c r="H244" s="12" t="inlineStr"/>
    </row>
    <row r="245">
      <c r="A245" s="5" t="inlineStr">
        <is>
          <t>lab_search.py</t>
        </is>
      </c>
      <c r="B245" s="10" t="inlineStr">
        <is>
          <t>공통</t>
        </is>
      </c>
      <c r="C245" s="5" t="inlineStr">
        <is>
          <t xml:space="preserve">  MilvusSearcher._hits(self, res, via)</t>
        </is>
      </c>
      <c r="D245" s="10" t="inlineStr">
        <is>
          <t>메서드</t>
        </is>
      </c>
      <c r="E245" s="5" t="inlineStr"/>
      <c r="F245" s="10" t="n">
        <v>393</v>
      </c>
      <c r="G245" s="11" t="inlineStr"/>
      <c r="H245" s="12" t="inlineStr"/>
    </row>
    <row r="246">
      <c r="A246" s="5" t="inlineStr">
        <is>
          <t>lab_search.py</t>
        </is>
      </c>
      <c r="B246" s="10" t="inlineStr">
        <is>
          <t>공통</t>
        </is>
      </c>
      <c r="C246" s="5" t="inlineStr">
        <is>
          <t xml:space="preserve">  MilvusSearcher.dense(self, vec, k, expr)</t>
        </is>
      </c>
      <c r="D246" s="10" t="inlineStr">
        <is>
          <t>메서드</t>
        </is>
      </c>
      <c r="E246" s="5" t="inlineStr"/>
      <c r="F246" s="10" t="n">
        <v>402</v>
      </c>
      <c r="G246" s="11" t="inlineStr"/>
      <c r="H246" s="12" t="inlineStr"/>
    </row>
    <row r="247">
      <c r="A247" s="5" t="inlineStr">
        <is>
          <t>lab_search.py</t>
        </is>
      </c>
      <c r="B247" s="10" t="inlineStr">
        <is>
          <t>공통</t>
        </is>
      </c>
      <c r="C247" s="5" t="inlineStr">
        <is>
          <t xml:space="preserve">  MilvusSearcher.sparse(self, sp, k, expr)</t>
        </is>
      </c>
      <c r="D247" s="10" t="inlineStr">
        <is>
          <t>메서드</t>
        </is>
      </c>
      <c r="E247" s="5" t="inlineStr"/>
      <c r="F247" s="10" t="n">
        <v>407</v>
      </c>
      <c r="G247" s="11" t="inlineStr"/>
      <c r="H247" s="12" t="inlineStr"/>
    </row>
    <row r="248">
      <c r="A248" s="20" t="inlineStr">
        <is>
          <t>lab_search.py</t>
        </is>
      </c>
      <c r="B248" s="21" t="inlineStr">
        <is>
          <t>공통</t>
        </is>
      </c>
      <c r="C248" s="20" t="inlineStr">
        <is>
          <t>MODES</t>
        </is>
      </c>
      <c r="D248" s="21" t="inlineStr">
        <is>
          <t>설정값</t>
        </is>
      </c>
      <c r="E248" s="20" t="inlineStr">
        <is>
          <t>목록 6 개</t>
        </is>
      </c>
      <c r="F248" s="21" t="n">
        <v>414</v>
      </c>
      <c r="G248" s="11" t="inlineStr"/>
      <c r="H248" s="12" t="inlineStr"/>
    </row>
    <row r="249">
      <c r="A249" s="22" t="inlineStr">
        <is>
          <t>lab_search.py</t>
        </is>
      </c>
      <c r="B249" s="23" t="inlineStr">
        <is>
          <t>공통</t>
        </is>
      </c>
      <c r="C249" s="22" t="inlineStr">
        <is>
          <t>class Retriever</t>
        </is>
      </c>
      <c r="D249" s="23" t="inlineStr">
        <is>
          <t>클래스</t>
        </is>
      </c>
      <c r="E249" s="22" t="inlineStr">
        <is>
          <t>search(q, mode) 로 단계별 비교.</t>
        </is>
      </c>
      <c r="F249" s="23" t="n">
        <v>417</v>
      </c>
      <c r="G249" s="11" t="inlineStr"/>
      <c r="H249" s="12" t="inlineStr"/>
    </row>
    <row r="250">
      <c r="A250" s="5" t="inlineStr">
        <is>
          <t>lab_search.py</t>
        </is>
      </c>
      <c r="B250" s="10" t="inlineStr">
        <is>
          <t>공통</t>
        </is>
      </c>
      <c r="C250" s="5" t="inlineStr">
        <is>
          <t xml:space="preserve">  Retriever.__init__(self, chunks, bm25_tokenizer, parts, embedder, reranker, use_milvus)</t>
        </is>
      </c>
      <c r="D250" s="10" t="inlineStr">
        <is>
          <t>메서드</t>
        </is>
      </c>
      <c r="E250" s="5" t="inlineStr"/>
      <c r="F250" s="10" t="n">
        <v>427</v>
      </c>
      <c r="G250" s="11" t="inlineStr"/>
      <c r="H250" s="12" t="inlineStr"/>
    </row>
    <row r="251">
      <c r="A251" s="5" t="inlineStr">
        <is>
          <t>lab_search.py</t>
        </is>
      </c>
      <c r="B251" s="10" t="inlineStr">
        <is>
          <t>공통</t>
        </is>
      </c>
      <c r="C251" s="5" t="inlineStr">
        <is>
          <t xml:space="preserve">  Retriever.empty(cls)</t>
        </is>
      </c>
      <c r="D251" s="10" t="inlineStr">
        <is>
          <t>메서드</t>
        </is>
      </c>
      <c r="E251" s="5" t="inlineStr">
        <is>
          <t>결과 없음 — 컬럼은 유지한다 (하위 코드가 doc_id 를 찾으므로)</t>
        </is>
      </c>
      <c r="F251" s="10" t="n">
        <v>450</v>
      </c>
      <c r="G251" s="11" t="inlineStr"/>
      <c r="H251" s="12" t="inlineStr"/>
    </row>
    <row r="252">
      <c r="A252" s="5" t="inlineStr">
        <is>
          <t>lab_search.py</t>
        </is>
      </c>
      <c r="B252" s="10" t="inlineStr">
        <is>
          <t>공통</t>
        </is>
      </c>
      <c r="C252" s="5" t="inlineStr">
        <is>
          <t xml:space="preserve">  Retriever._local(self, pairs, via)</t>
        </is>
      </c>
      <c r="D252" s="10" t="inlineStr">
        <is>
          <t>메서드</t>
        </is>
      </c>
      <c r="E252" s="5" t="inlineStr"/>
      <c r="F252" s="10" t="n">
        <v>455</v>
      </c>
      <c r="G252" s="11" t="inlineStr"/>
      <c r="H252" s="12" t="inlineStr"/>
    </row>
    <row r="253">
      <c r="A253" s="5" t="inlineStr">
        <is>
          <t>lab_search.py</t>
        </is>
      </c>
      <c r="B253" s="10" t="inlineStr">
        <is>
          <t>공통</t>
        </is>
      </c>
      <c r="C253" s="5" t="inlineStr">
        <is>
          <t xml:space="preserve">  Retriever.bm25(self, q, k)</t>
        </is>
      </c>
      <c r="D253" s="10" t="inlineStr">
        <is>
          <t>메서드</t>
        </is>
      </c>
      <c r="E253" s="5" t="inlineStr"/>
      <c r="F253" s="10" t="n">
        <v>459</v>
      </c>
      <c r="G253" s="11" t="inlineStr"/>
      <c r="H253" s="12" t="inlineStr"/>
    </row>
    <row r="254">
      <c r="A254" s="5" t="inlineStr">
        <is>
          <t>lab_search.py</t>
        </is>
      </c>
      <c r="B254" s="10" t="inlineStr">
        <is>
          <t>공통</t>
        </is>
      </c>
      <c r="C254" s="5" t="inlineStr">
        <is>
          <t xml:space="preserve">  Retriever.dense(self, q, k, expr)</t>
        </is>
      </c>
      <c r="D254" s="10" t="inlineStr">
        <is>
          <t>메서드</t>
        </is>
      </c>
      <c r="E254" s="5" t="inlineStr"/>
      <c r="F254" s="10" t="n">
        <v>462</v>
      </c>
      <c r="G254" s="11" t="inlineStr"/>
      <c r="H254" s="12" t="inlineStr"/>
    </row>
    <row r="255">
      <c r="A255" s="5" t="inlineStr">
        <is>
          <t>lab_search.py</t>
        </is>
      </c>
      <c r="B255" s="10" t="inlineStr">
        <is>
          <t>공통</t>
        </is>
      </c>
      <c r="C255" s="5" t="inlineStr">
        <is>
          <t xml:space="preserve">  Retriever.sparse(self, q, k, expr)</t>
        </is>
      </c>
      <c r="D255" s="10" t="inlineStr">
        <is>
          <t>메서드</t>
        </is>
      </c>
      <c r="E255" s="5" t="inlineStr"/>
      <c r="F255" s="10" t="n">
        <v>470</v>
      </c>
      <c r="G255" s="11" t="inlineStr"/>
      <c r="H255" s="12" t="inlineStr"/>
    </row>
    <row r="256">
      <c r="A256" s="5" t="inlineStr">
        <is>
          <t>lab_search.py</t>
        </is>
      </c>
      <c r="B256" s="10" t="inlineStr">
        <is>
          <t>공통</t>
        </is>
      </c>
      <c r="C256" s="5" t="inlineStr">
        <is>
          <t xml:space="preserve">  Retriever.search(self, q, mode, k, cand, lam, max_per_doc, expr, rrf_k)</t>
        </is>
      </c>
      <c r="D256" s="10" t="inlineStr">
        <is>
          <t>메서드</t>
        </is>
      </c>
      <c r="E256" s="5" t="inlineStr"/>
      <c r="F256" s="10" t="n">
        <v>481</v>
      </c>
      <c r="G256" s="11" t="inlineStr"/>
      <c r="H256" s="12" t="inlineStr"/>
    </row>
    <row r="257">
      <c r="A257" s="5" t="inlineStr">
        <is>
          <t>lab_search.py</t>
        </is>
      </c>
      <c r="B257" s="10" t="inlineStr">
        <is>
          <t>공통</t>
        </is>
      </c>
      <c r="C257" s="5" t="inlineStr">
        <is>
          <t xml:space="preserve">  Retriever._rank(df)</t>
        </is>
      </c>
      <c r="D257" s="10" t="inlineStr">
        <is>
          <t>메서드</t>
        </is>
      </c>
      <c r="E257" s="5" t="inlineStr"/>
      <c r="F257" s="10" t="n">
        <v>507</v>
      </c>
      <c r="G257" s="11" t="inlineStr"/>
      <c r="H257" s="12" t="inlineStr"/>
    </row>
    <row r="258">
      <c r="A258" s="5" t="inlineStr">
        <is>
          <t>lab_search.py</t>
        </is>
      </c>
      <c r="B258" s="10" t="inlineStr">
        <is>
          <t>공통</t>
        </is>
      </c>
      <c r="C258" s="5" t="inlineStr">
        <is>
          <t>_dig(js, path)</t>
        </is>
      </c>
      <c r="D258" s="10" t="inlineStr">
        <is>
          <t>함수</t>
        </is>
      </c>
      <c r="E258" s="5" t="inlineStr"/>
      <c r="F258" s="10" t="n">
        <v>514</v>
      </c>
      <c r="G258" s="11" t="inlineStr"/>
      <c r="H258" s="12" t="inlineStr"/>
    </row>
    <row r="259">
      <c r="A259" s="5" t="inlineStr">
        <is>
          <t>lab_search.py</t>
        </is>
      </c>
      <c r="B259" s="10" t="inlineStr">
        <is>
          <t>공통</t>
        </is>
      </c>
      <c r="C259" s="5" t="inlineStr">
        <is>
          <t>api_search(q, k)</t>
        </is>
      </c>
      <c r="D259" s="10" t="inlineStr">
        <is>
          <t>함수</t>
        </is>
      </c>
      <c r="E259" s="5" t="inlineStr">
        <is>
          <t>기존 시스템 그대로 검색 → (결과 DataFrame, 답변 or None). 요청 · 응답 모양은 lab_config.SEARCH_API.</t>
        </is>
      </c>
      <c r="F259" s="10" t="n">
        <v>520</v>
      </c>
      <c r="G259" s="11" t="inlineStr"/>
      <c r="H259" s="12" t="inlineStr"/>
    </row>
    <row r="260">
      <c r="A260" s="20" t="inlineStr">
        <is>
          <t>lab_search.py</t>
        </is>
      </c>
      <c r="B260" s="21" t="inlineStr">
        <is>
          <t>공통</t>
        </is>
      </c>
      <c r="C260" s="20" t="inlineStr">
        <is>
          <t>PROMPT</t>
        </is>
      </c>
      <c r="D260" s="21" t="inlineStr">
        <is>
          <t>설정값</t>
        </is>
      </c>
      <c r="E260" s="20" t="inlineStr">
        <is>
          <t>값 = 아래 [자료]만 근거로 질문에 답하세요.
규칙:
1. 문장마다 근거 자료 번호를 [1]처럼 붙인다.
2. 자</t>
        </is>
      </c>
      <c r="F260" s="21" t="n">
        <v>536</v>
      </c>
      <c r="G260" s="11" t="inlineStr"/>
      <c r="H260" s="12" t="inlineStr"/>
    </row>
    <row r="261">
      <c r="A261" s="5" t="inlineStr">
        <is>
          <t>lab_search.py</t>
        </is>
      </c>
      <c r="B261" s="10" t="inlineStr">
        <is>
          <t>공통</t>
        </is>
      </c>
      <c r="C261" s="5" t="inlineStr">
        <is>
          <t>build_context(results, meta, n)</t>
        </is>
      </c>
      <c r="D261" s="10" t="inlineStr">
        <is>
          <t>함수</t>
        </is>
      </c>
      <c r="E261" s="5" t="inlineStr">
        <is>
          <t>청크에 [번호 | 유형 | 기관 | 날짜] 라벨을 붙여 컨텍스트 생성. meta: doc_id → (유형, 기관, 날짜) DataFrame.</t>
        </is>
      </c>
      <c r="F261" s="10" t="n">
        <v>549</v>
      </c>
      <c r="G261" s="11" t="inlineStr"/>
      <c r="H261" s="12" t="inlineStr"/>
    </row>
    <row r="262">
      <c r="A262" s="20" t="inlineStr">
        <is>
          <t>lab_search.py</t>
        </is>
      </c>
      <c r="B262" s="21" t="inlineStr">
        <is>
          <t>공통</t>
        </is>
      </c>
      <c r="C262" s="20" t="inlineStr">
        <is>
          <t>RETRY_CODES</t>
        </is>
      </c>
      <c r="D262" s="21" t="inlineStr">
        <is>
          <t>설정값</t>
        </is>
      </c>
      <c r="E262" s="20" t="inlineStr">
        <is>
          <t>목록 5 개</t>
        </is>
      </c>
      <c r="F262" s="21" t="n">
        <v>564</v>
      </c>
      <c r="G262" s="11" t="inlineStr"/>
      <c r="H262" s="12" t="inlineStr"/>
    </row>
    <row r="263">
      <c r="A263" s="5" t="inlineStr">
        <is>
          <t>lab_search.py</t>
        </is>
      </c>
      <c r="B263" s="10" t="inlineStr">
        <is>
          <t>공통</t>
        </is>
      </c>
      <c r="C263" s="5" t="inlineStr">
        <is>
          <t>llm_call(prompt, temperature)</t>
        </is>
      </c>
      <c r="D263" s="10" t="inlineStr">
        <is>
          <t>함수</t>
        </is>
      </c>
      <c r="E263" s="5" t="inlineStr">
        <is>
          <t>LLM 1회 호출 — 과부하(503) · 한도(429) · 일시 오류(5xx)는 대기 후 재시도.</t>
        </is>
      </c>
      <c r="F263" s="10" t="n">
        <v>567</v>
      </c>
      <c r="G263" s="11" t="inlineStr"/>
      <c r="H263" s="12" t="inlineStr"/>
    </row>
    <row r="264">
      <c r="A264" s="5" t="inlineStr">
        <is>
          <t>lab_search.py</t>
        </is>
      </c>
      <c r="B264" s="10" t="inlineStr">
        <is>
          <t>공통</t>
        </is>
      </c>
      <c r="C264" s="5" t="inlineStr">
        <is>
          <t>extractive_answer(question, results, meta, n, max_sent)</t>
        </is>
      </c>
      <c r="D264" s="10" t="inlineStr">
        <is>
          <t>함수</t>
        </is>
      </c>
      <c r="E264" s="5" t="inlineStr">
        <is>
          <t>LLM 없이 만드는 답변 — 상위 청크에서 질문과 겹치는 문장을 뽑아 인용 번호를 붙인다.</t>
        </is>
      </c>
      <c r="F264" s="10" t="n">
        <v>603</v>
      </c>
      <c r="G264" s="11" t="inlineStr"/>
      <c r="H264" s="12" t="inlineStr"/>
    </row>
    <row r="265">
      <c r="A265" s="5" t="inlineStr">
        <is>
          <t>lab_search.py</t>
        </is>
      </c>
      <c r="B265" s="10" t="inlineStr">
        <is>
          <t>공통</t>
        </is>
      </c>
      <c r="C265" s="5" t="inlineStr">
        <is>
          <t>llm_answer(question, results, meta, n, temperature)</t>
        </is>
      </c>
      <c r="D265" s="10" t="inlineStr">
        <is>
          <t>함수</t>
        </is>
      </c>
      <c r="E265" s="5" t="inlineStr"/>
      <c r="F265" s="10" t="n">
        <v>637</v>
      </c>
      <c r="G265" s="11" t="inlineStr"/>
      <c r="H265" s="12" t="inlineStr"/>
    </row>
    <row r="266">
      <c r="A266" s="20" t="inlineStr">
        <is>
          <t>lab_sources.py</t>
        </is>
      </c>
      <c r="B266" s="21" t="inlineStr">
        <is>
          <t>설정</t>
        </is>
      </c>
      <c r="C266" s="20" t="inlineStr">
        <is>
          <t>COMMON_REQUIRED</t>
        </is>
      </c>
      <c r="D266" s="21" t="inlineStr">
        <is>
          <t>설정값</t>
        </is>
      </c>
      <c r="E266" s="20" t="inlineStr">
        <is>
          <t>모든 유형 공통</t>
        </is>
      </c>
      <c r="F266" s="21" t="n">
        <v>36</v>
      </c>
      <c r="G266" s="11" t="inlineStr"/>
      <c r="H266" s="12" t="inlineStr"/>
    </row>
    <row r="267">
      <c r="A267" s="20" t="inlineStr">
        <is>
          <t>lab_sources.py</t>
        </is>
      </c>
      <c r="B267" s="21" t="inlineStr">
        <is>
          <t>설정</t>
        </is>
      </c>
      <c r="C267" s="20" t="inlineStr">
        <is>
          <t>SOURCES</t>
        </is>
      </c>
      <c r="D267" s="21" t="inlineStr">
        <is>
          <t>설정값</t>
        </is>
      </c>
      <c r="E267" s="20" t="inlineStr">
        <is>
          <t>딕셔너리 7 항목</t>
        </is>
      </c>
      <c r="F267" s="21" t="n">
        <v>42</v>
      </c>
      <c r="G267" s="11" t="inlineStr"/>
      <c r="H267" s="12" t="inlineStr"/>
    </row>
    <row r="268">
      <c r="A268" s="5" t="inlineStr">
        <is>
          <t>lab_sources.py</t>
        </is>
      </c>
      <c r="B268" s="10" t="inlineStr">
        <is>
          <t>설정</t>
        </is>
      </c>
      <c r="C268" s="5" t="inlineStr">
        <is>
          <t>codes()</t>
        </is>
      </c>
      <c r="D268" s="10" t="inlineStr">
        <is>
          <t>함수</t>
        </is>
      </c>
      <c r="E268" s="5" t="inlineStr"/>
      <c r="F268" s="10" t="n">
        <v>95</v>
      </c>
      <c r="G268" s="11" t="inlineStr"/>
      <c r="H268" s="12" t="inlineStr"/>
    </row>
    <row r="269">
      <c r="A269" s="5" t="inlineStr">
        <is>
          <t>lab_sources.py</t>
        </is>
      </c>
      <c r="B269" s="10" t="inlineStr">
        <is>
          <t>설정</t>
        </is>
      </c>
      <c r="C269" s="5" t="inlineStr">
        <is>
          <t>ko_map()</t>
        </is>
      </c>
      <c r="D269" s="10" t="inlineStr">
        <is>
          <t>함수</t>
        </is>
      </c>
      <c r="E269" s="5" t="inlineStr"/>
      <c r="F269" s="10" t="n">
        <v>99</v>
      </c>
      <c r="G269" s="11" t="inlineStr"/>
      <c r="H269" s="12" t="inlineStr"/>
    </row>
    <row r="270">
      <c r="A270" s="5" t="inlineStr">
        <is>
          <t>lab_sources.py</t>
        </is>
      </c>
      <c r="B270" s="10" t="inlineStr">
        <is>
          <t>설정</t>
        </is>
      </c>
      <c r="C270" s="5" t="inlineStr">
        <is>
          <t>ko(code)</t>
        </is>
      </c>
      <c r="D270" s="10" t="inlineStr">
        <is>
          <t>함수</t>
        </is>
      </c>
      <c r="E270" s="5" t="inlineStr"/>
      <c r="F270" s="10" t="n">
        <v>103</v>
      </c>
      <c r="G270" s="11" t="inlineStr"/>
      <c r="H270" s="12" t="inlineStr"/>
    </row>
    <row r="271">
      <c r="A271" s="5" t="inlineStr">
        <is>
          <t>lab_sources.py</t>
        </is>
      </c>
      <c r="B271" s="10" t="inlineStr">
        <is>
          <t>설정</t>
        </is>
      </c>
      <c r="C271" s="5" t="inlineStr">
        <is>
          <t>group(code)</t>
        </is>
      </c>
      <c r="D271" s="10" t="inlineStr">
        <is>
          <t>함수</t>
        </is>
      </c>
      <c r="E271" s="5" t="inlineStr"/>
      <c r="F271" s="10" t="n">
        <v>107</v>
      </c>
      <c r="G271" s="11" t="inlineStr"/>
      <c r="H271" s="12" t="inlineStr"/>
    </row>
    <row r="272">
      <c r="A272" s="5" t="inlineStr">
        <is>
          <t>lab_sources.py</t>
        </is>
      </c>
      <c r="B272" s="10" t="inlineStr">
        <is>
          <t>설정</t>
        </is>
      </c>
      <c r="C272" s="5" t="inlineStr">
        <is>
          <t>security(code)</t>
        </is>
      </c>
      <c r="D272" s="10" t="inlineStr">
        <is>
          <t>함수</t>
        </is>
      </c>
      <c r="E272" s="5" t="inlineStr"/>
      <c r="F272" s="10" t="n">
        <v>111</v>
      </c>
      <c r="G272" s="11" t="inlineStr"/>
      <c r="H272" s="12" t="inlineStr"/>
    </row>
    <row r="273">
      <c r="A273" s="5" t="inlineStr">
        <is>
          <t>lab_sources.py</t>
        </is>
      </c>
      <c r="B273" s="10" t="inlineStr">
        <is>
          <t>설정</t>
        </is>
      </c>
      <c r="C273" s="5" t="inlineStr">
        <is>
          <t>required(code)</t>
        </is>
      </c>
      <c r="D273" s="10" t="inlineStr">
        <is>
          <t>함수</t>
        </is>
      </c>
      <c r="E273" s="5" t="inlineStr"/>
      <c r="F273" s="10" t="n">
        <v>115</v>
      </c>
      <c r="G273" s="11" t="inlineStr"/>
      <c r="H273" s="12" t="inlineStr"/>
    </row>
    <row r="274">
      <c r="A274" s="5" t="inlineStr">
        <is>
          <t>lab_sources.py</t>
        </is>
      </c>
      <c r="B274" s="10" t="inlineStr">
        <is>
          <t>설정</t>
        </is>
      </c>
      <c r="C274" s="5" t="inlineStr">
        <is>
          <t>required_map()</t>
        </is>
      </c>
      <c r="D274" s="10" t="inlineStr">
        <is>
          <t>함수</t>
        </is>
      </c>
      <c r="E274" s="5" t="inlineStr"/>
      <c r="F274" s="10" t="n">
        <v>119</v>
      </c>
      <c r="G274" s="11" t="inlineStr"/>
      <c r="H274" s="12" t="inlineStr"/>
    </row>
    <row r="275">
      <c r="A275" s="5" t="inlineStr">
        <is>
          <t>lab_sources.py</t>
        </is>
      </c>
      <c r="B275" s="10" t="inlineStr">
        <is>
          <t>설정</t>
        </is>
      </c>
      <c r="C275" s="5" t="inlineStr">
        <is>
          <t>noise(code)</t>
        </is>
      </c>
      <c r="D275" s="10" t="inlineStr">
        <is>
          <t>함수</t>
        </is>
      </c>
      <c r="E275" s="5" t="inlineStr"/>
      <c r="F275" s="10" t="n">
        <v>123</v>
      </c>
      <c r="G275" s="11" t="inlineStr"/>
      <c r="H275" s="12" t="inlineStr"/>
    </row>
    <row r="276">
      <c r="A276" s="5" t="inlineStr">
        <is>
          <t>lab_sources.py</t>
        </is>
      </c>
      <c r="B276" s="10" t="inlineStr">
        <is>
          <t>설정</t>
        </is>
      </c>
      <c r="C276" s="5" t="inlineStr">
        <is>
          <t>clean_opts(code)</t>
        </is>
      </c>
      <c r="D276" s="10" t="inlineStr">
        <is>
          <t>함수</t>
        </is>
      </c>
      <c r="E276" s="5" t="inlineStr"/>
      <c r="F276" s="10" t="n">
        <v>127</v>
      </c>
      <c r="G276" s="11" t="inlineStr"/>
      <c r="H276" s="12" t="inlineStr"/>
    </row>
    <row r="277">
      <c r="A277" s="5" t="inlineStr">
        <is>
          <t>lab_sources.py</t>
        </is>
      </c>
      <c r="B277" s="10" t="inlineStr">
        <is>
          <t>설정</t>
        </is>
      </c>
      <c r="C277" s="5" t="inlineStr">
        <is>
          <t>chunk_opts(code)</t>
        </is>
      </c>
      <c r="D277" s="10" t="inlineStr">
        <is>
          <t>함수</t>
        </is>
      </c>
      <c r="E277" s="5" t="inlineStr"/>
      <c r="F277" s="10" t="n">
        <v>132</v>
      </c>
      <c r="G277" s="11" t="inlineStr"/>
      <c r="H277" s="12" t="inlineStr"/>
    </row>
    <row r="278">
      <c r="A278" s="5" t="inlineStr">
        <is>
          <t>lab_sources.py</t>
        </is>
      </c>
      <c r="B278" s="10" t="inlineStr">
        <is>
          <t>설정</t>
        </is>
      </c>
      <c r="C278" s="5" t="inlineStr">
        <is>
          <t>aliases(code)</t>
        </is>
      </c>
      <c r="D278" s="10" t="inlineStr">
        <is>
          <t>함수</t>
        </is>
      </c>
      <c r="E278" s="5" t="inlineStr">
        <is>
          <t>이 카테고리를 가리키는 사내 DB 값들 (생략 시 키 자신)</t>
        </is>
      </c>
      <c r="F278" s="10" t="n">
        <v>137</v>
      </c>
      <c r="G278" s="11" t="inlineStr"/>
      <c r="H278" s="12" t="inlineStr"/>
    </row>
    <row r="279">
      <c r="A279" s="5" t="inlineStr">
        <is>
          <t>lab_sources.py</t>
        </is>
      </c>
      <c r="B279" s="10" t="inlineStr">
        <is>
          <t>설정</t>
        </is>
      </c>
      <c r="C279" s="5" t="inlineStr">
        <is>
          <t>type_map()</t>
        </is>
      </c>
      <c r="D279" s="10" t="inlineStr">
        <is>
          <t>함수</t>
        </is>
      </c>
      <c r="E279" s="5" t="inlineStr">
        <is>
          <t>사내 DB 값 → 카테고리 코드</t>
        </is>
      </c>
      <c r="F279" s="10" t="n">
        <v>142</v>
      </c>
      <c r="G279" s="11" t="inlineStr"/>
      <c r="H279" s="12" t="inlineStr"/>
    </row>
    <row r="280">
      <c r="A280" s="5" t="inlineStr">
        <is>
          <t>lab_sources.py</t>
        </is>
      </c>
      <c r="B280" s="10" t="inlineStr">
        <is>
          <t>설정</t>
        </is>
      </c>
      <c r="C280" s="5" t="inlineStr">
        <is>
          <t>unmapped(raw)</t>
        </is>
      </c>
      <c r="D280" s="10" t="inlineStr">
        <is>
          <t>함수</t>
        </is>
      </c>
      <c r="E280" s="5" t="inlineStr">
        <is>
          <t>데이터에 있는 사내 코드가 SOURCES 에 있는지 확인 — 없으면 기준이 적용되지 않은 채 통과한다.</t>
        </is>
      </c>
      <c r="F280" s="10" t="n">
        <v>152</v>
      </c>
      <c r="G280" s="11" t="inlineStr"/>
      <c r="H280" s="12" t="inlineStr"/>
    </row>
    <row r="281">
      <c r="A281" s="5" t="inlineStr">
        <is>
          <t>lab_sources.py</t>
        </is>
      </c>
      <c r="B281" s="10" t="inlineStr">
        <is>
          <t>설정</t>
        </is>
      </c>
      <c r="C281" s="5" t="inlineStr">
        <is>
          <t>table()</t>
        </is>
      </c>
      <c r="D281" s="10" t="inlineStr">
        <is>
          <t>함수</t>
        </is>
      </c>
      <c r="E281" s="5" t="inlineStr">
        <is>
          <t>현재 정의 — 확인 · 공유용</t>
        </is>
      </c>
      <c r="F281" s="10" t="n">
        <v>169</v>
      </c>
      <c r="G281" s="11" t="inlineStr"/>
      <c r="H281" s="12" t="inlineStr"/>
    </row>
    <row r="282">
      <c r="A282" s="20" t="inlineStr">
        <is>
          <t>lab_sql.py</t>
        </is>
      </c>
      <c r="B282" s="21" t="inlineStr">
        <is>
          <t>공통</t>
        </is>
      </c>
      <c r="C282" s="20" t="inlineStr">
        <is>
          <t>CAT_DIR</t>
        </is>
      </c>
      <c r="D282" s="21" t="inlineStr">
        <is>
          <t>설정값</t>
        </is>
      </c>
      <c r="E282" s="20" t="inlineStr">
        <is>
          <t>os.path.join(C.LAB_DIR, 'catalog')</t>
        </is>
      </c>
      <c r="F282" s="21" t="n">
        <v>17</v>
      </c>
      <c r="G282" s="11" t="inlineStr"/>
      <c r="H282" s="12" t="inlineStr"/>
    </row>
    <row r="283">
      <c r="A283" s="20" t="inlineStr">
        <is>
          <t>lab_sql.py</t>
        </is>
      </c>
      <c r="B283" s="21" t="inlineStr">
        <is>
          <t>공통</t>
        </is>
      </c>
      <c r="C283" s="20" t="inlineStr">
        <is>
          <t>DEFAULT_CATALOG</t>
        </is>
      </c>
      <c r="D283" s="21" t="inlineStr">
        <is>
          <t>설정값</t>
        </is>
      </c>
      <c r="E283" s="20" t="inlineStr">
        <is>
          <t>os.path.join(CAT_DIR, 'metric_catalog.xlsx')</t>
        </is>
      </c>
      <c r="F283" s="21" t="n">
        <v>18</v>
      </c>
      <c r="G283" s="11" t="inlineStr"/>
      <c r="H283" s="12" t="inlineStr"/>
    </row>
    <row r="284">
      <c r="A284" s="20" t="inlineStr">
        <is>
          <t>lab_sql.py</t>
        </is>
      </c>
      <c r="B284" s="21" t="inlineStr">
        <is>
          <t>공통</t>
        </is>
      </c>
      <c r="C284" s="20" t="inlineStr">
        <is>
          <t>EXAMPLE_CATALOG</t>
        </is>
      </c>
      <c r="D284" s="21" t="inlineStr">
        <is>
          <t>설정값</t>
        </is>
      </c>
      <c r="E284" s="20" t="inlineStr">
        <is>
          <t>os.path.join(CAT_DIR, 'metric_catalog_example.xlsx')</t>
        </is>
      </c>
      <c r="F284" s="21" t="n">
        <v>19</v>
      </c>
      <c r="G284" s="11" t="inlineStr"/>
      <c r="H284" s="12" t="inlineStr"/>
    </row>
    <row r="285">
      <c r="A285" s="20" t="inlineStr">
        <is>
          <t>lab_sql.py</t>
        </is>
      </c>
      <c r="B285" s="21" t="inlineStr">
        <is>
          <t>공통</t>
        </is>
      </c>
      <c r="C285" s="20" t="inlineStr">
        <is>
          <t>MAX_ROWS</t>
        </is>
      </c>
      <c r="D285" s="21" t="inlineStr">
        <is>
          <t>설정값</t>
        </is>
      </c>
      <c r="E285" s="20" t="inlineStr">
        <is>
          <t>int(C.env('SQL_MAX_ROWS', '200'))</t>
        </is>
      </c>
      <c r="F285" s="21" t="n">
        <v>20</v>
      </c>
      <c r="G285" s="11" t="inlineStr"/>
      <c r="H285" s="12" t="inlineStr"/>
    </row>
    <row r="286">
      <c r="A286" s="20" t="inlineStr">
        <is>
          <t>lab_sql.py</t>
        </is>
      </c>
      <c r="B286" s="21" t="inlineStr">
        <is>
          <t>공통</t>
        </is>
      </c>
      <c r="C286" s="20" t="inlineStr">
        <is>
          <t>SQL_TIMEOUT</t>
        </is>
      </c>
      <c r="D286" s="21" t="inlineStr">
        <is>
          <t>설정값</t>
        </is>
      </c>
      <c r="E286" s="20" t="inlineStr">
        <is>
          <t>int(C.env('SQL_TIMEOUT', '20'))</t>
        </is>
      </c>
      <c r="F286" s="21" t="n">
        <v>21</v>
      </c>
      <c r="G286" s="11" t="inlineStr"/>
      <c r="H286" s="12" t="inlineStr"/>
    </row>
    <row r="287">
      <c r="A287" s="5" t="inlineStr">
        <is>
          <t>lab_sql.py</t>
        </is>
      </c>
      <c r="B287" s="10" t="inlineStr">
        <is>
          <t>공통</t>
        </is>
      </c>
      <c r="C287" s="5" t="inlineStr">
        <is>
          <t>load_catalog(path)</t>
        </is>
      </c>
      <c r="D287" s="10" t="inlineStr">
        <is>
          <t>함수</t>
        </is>
      </c>
      <c r="E287" s="5" t="inlineStr">
        <is>
          <t>지표 정의서 xlsx → {'metrics','codes','tables','allow'} DataFrame. 예시 행(회색)은 그대로 읽힌다.</t>
        </is>
      </c>
      <c r="F287" s="10" t="n">
        <v>36</v>
      </c>
      <c r="G287" s="11" t="inlineStr"/>
      <c r="H287" s="12" t="inlineStr"/>
    </row>
    <row r="288">
      <c r="A288" s="5" t="inlineStr">
        <is>
          <t>lab_sql.py</t>
        </is>
      </c>
      <c r="B288" s="10" t="inlineStr">
        <is>
          <t>공통</t>
        </is>
      </c>
      <c r="C288" s="5" t="inlineStr">
        <is>
          <t>allow_map(cat)</t>
        </is>
      </c>
      <c r="D288" s="10" t="inlineStr">
        <is>
          <t>함수</t>
        </is>
      </c>
      <c r="E288" s="5" t="inlineStr">
        <is>
          <t>{테이블: 허용 컬럼 set 또는 '*'} — 사용='Y' 인 것만.</t>
        </is>
      </c>
      <c r="F288" s="10" t="n">
        <v>49</v>
      </c>
      <c r="G288" s="11" t="inlineStr"/>
      <c r="H288" s="12" t="inlineStr"/>
    </row>
    <row r="289">
      <c r="A289" s="5" t="inlineStr">
        <is>
          <t>lab_sql.py</t>
        </is>
      </c>
      <c r="B289" s="10" t="inlineStr">
        <is>
          <t>공통</t>
        </is>
      </c>
      <c r="C289" s="5" t="inlineStr">
        <is>
          <t>alias_index(cat)</t>
        </is>
      </c>
      <c r="D289" s="10" t="inlineStr">
        <is>
          <t>함수</t>
        </is>
      </c>
      <c r="E289" s="5" t="inlineStr">
        <is>
          <t>별칭 → (종류, 값) 색인. 지표명 · 코드 별칭을 한 번에.</t>
        </is>
      </c>
      <c r="F289" s="10" t="n">
        <v>60</v>
      </c>
      <c r="G289" s="11" t="inlineStr"/>
      <c r="H289" s="12" t="inlineStr"/>
    </row>
    <row r="290">
      <c r="A290" s="20" t="inlineStr">
        <is>
          <t>lab_sql.py</t>
        </is>
      </c>
      <c r="B290" s="21" t="inlineStr">
        <is>
          <t>공통</t>
        </is>
      </c>
      <c r="C290" s="20" t="inlineStr">
        <is>
          <t>NUM_WORDS</t>
        </is>
      </c>
      <c r="D290" s="21" t="inlineStr">
        <is>
          <t>설정값</t>
        </is>
      </c>
      <c r="E290" s="20" t="inlineStr">
        <is>
          <t>목록 27 개</t>
        </is>
      </c>
      <c r="F290" s="21" t="n">
        <v>75</v>
      </c>
      <c r="G290" s="11" t="inlineStr"/>
      <c r="H290" s="12" t="inlineStr"/>
    </row>
    <row r="291">
      <c r="A291" s="20" t="inlineStr">
        <is>
          <t>lab_sql.py</t>
        </is>
      </c>
      <c r="B291" s="21" t="inlineStr">
        <is>
          <t>공통</t>
        </is>
      </c>
      <c r="C291" s="20" t="inlineStr">
        <is>
          <t>TXT_WORDS</t>
        </is>
      </c>
      <c r="D291" s="21" t="inlineStr">
        <is>
          <t>설정값</t>
        </is>
      </c>
      <c r="E291" s="20" t="inlineStr">
        <is>
          <t>목록 14 개</t>
        </is>
      </c>
      <c r="F291" s="21" t="n">
        <v>77</v>
      </c>
      <c r="G291" s="11" t="inlineStr"/>
      <c r="H291" s="12" t="inlineStr"/>
    </row>
    <row r="292">
      <c r="A292" s="20" t="inlineStr">
        <is>
          <t>lab_sql.py</t>
        </is>
      </c>
      <c r="B292" s="21" t="inlineStr">
        <is>
          <t>공통</t>
        </is>
      </c>
      <c r="C292" s="20" t="inlineStr">
        <is>
          <t>NOANS</t>
        </is>
      </c>
      <c r="D292" s="21" t="inlineStr">
        <is>
          <t>설정값</t>
        </is>
      </c>
      <c r="E292" s="20" t="inlineStr">
        <is>
          <t>목록 3 개</t>
        </is>
      </c>
      <c r="F292" s="21" t="n">
        <v>78</v>
      </c>
      <c r="G292" s="11" t="inlineStr"/>
      <c r="H292" s="12" t="inlineStr"/>
    </row>
    <row r="293">
      <c r="A293" s="5" t="inlineStr">
        <is>
          <t>lab_sql.py</t>
        </is>
      </c>
      <c r="B293" s="10" t="inlineStr">
        <is>
          <t>공통</t>
        </is>
      </c>
      <c r="C293" s="5" t="inlineStr">
        <is>
          <t>route(question, cat, use_llm)</t>
        </is>
      </c>
      <c r="D293" s="10" t="inlineStr">
        <is>
          <t>함수</t>
        </is>
      </c>
      <c r="E293" s="5" t="inlineStr">
        <is>
          <t>질문 → ('sql'|'rag'|'hybrid'|'none', 근거dict). 규칙 우선, use_llm=True 면 애매할 때만 사내 LLM.</t>
        </is>
      </c>
      <c r="F293" s="10" t="n">
        <v>81</v>
      </c>
      <c r="G293" s="11" t="inlineStr"/>
      <c r="H293" s="12" t="inlineStr"/>
    </row>
    <row r="294">
      <c r="A294" s="5" t="inlineStr">
        <is>
          <t>lab_sql.py</t>
        </is>
      </c>
      <c r="B294" s="10" t="inlineStr">
        <is>
          <t>공통</t>
        </is>
      </c>
      <c r="C294" s="5" t="inlineStr">
        <is>
          <t>_period_filter(question, col)</t>
        </is>
      </c>
      <c r="D294" s="10" t="inlineStr">
        <is>
          <t>함수</t>
        </is>
      </c>
      <c r="E294" s="5" t="inlineStr">
        <is>
          <t>질문의 기간 표현 → SQL 조건 (YYYYMM 기준). 못 찾으면 빈 문자열.</t>
        </is>
      </c>
      <c r="F294" s="10" t="n">
        <v>112</v>
      </c>
      <c r="G294" s="11" t="inlineStr"/>
      <c r="H294" s="12" t="inlineStr"/>
    </row>
    <row r="295">
      <c r="A295" s="5" t="inlineStr">
        <is>
          <t>lab_sql.py</t>
        </is>
      </c>
      <c r="B295" s="10" t="inlineStr">
        <is>
          <t>공통</t>
        </is>
      </c>
      <c r="C295" s="5" t="inlineStr">
        <is>
          <t>make_sql(question, cat, dialect, use_llm)</t>
        </is>
      </c>
      <c r="D295" s="10" t="inlineStr">
        <is>
          <t>함수</t>
        </is>
      </c>
      <c r="E295" s="5" t="inlineStr">
        <is>
          <t>질문 → SQL. 기본은 카탈로그 기반 규칙 생성(설명 가능), 사내 LLM 이 있으면 llm 모드.</t>
        </is>
      </c>
      <c r="F295" s="10" t="n">
        <v>132</v>
      </c>
      <c r="G295" s="11" t="inlineStr"/>
      <c r="H295" s="12" t="inlineStr"/>
    </row>
    <row r="296">
      <c r="A296" s="5" t="inlineStr">
        <is>
          <t>lab_sql.py</t>
        </is>
      </c>
      <c r="B296" s="10" t="inlineStr">
        <is>
          <t>공통</t>
        </is>
      </c>
      <c r="C296" s="5" t="inlineStr">
        <is>
          <t>schema_prompt(cat, tables)</t>
        </is>
      </c>
      <c r="D296" s="10" t="inlineStr">
        <is>
          <t>함수</t>
        </is>
      </c>
      <c r="E296" s="5" t="inlineStr">
        <is>
          <t>LLM 에 줄 스키마 설명 — 전체가 아니라 허용 뷰만.</t>
        </is>
      </c>
      <c r="F296" s="10" t="n">
        <v>165</v>
      </c>
      <c r="G296" s="11" t="inlineStr"/>
      <c r="H296" s="12" t="inlineStr"/>
    </row>
    <row r="297">
      <c r="A297" s="5" t="inlineStr">
        <is>
          <t>lab_sql.py</t>
        </is>
      </c>
      <c r="B297" s="10" t="inlineStr">
        <is>
          <t>공통</t>
        </is>
      </c>
      <c r="C297" s="5" t="inlineStr">
        <is>
          <t>_llm_sql(question, cat, dialect)</t>
        </is>
      </c>
      <c r="D297" s="10" t="inlineStr">
        <is>
          <t>함수</t>
        </is>
      </c>
      <c r="E297" s="5" t="inlineStr">
        <is>
          <t>사내 LLM 으로 SQL 생성 (OpenAI 호환). 실패하면 빈 문자열.</t>
        </is>
      </c>
      <c r="F297" s="10" t="n">
        <v>181</v>
      </c>
      <c r="G297" s="11" t="inlineStr"/>
      <c r="H297" s="12" t="inlineStr"/>
    </row>
    <row r="298">
      <c r="A298" s="20" t="inlineStr">
        <is>
          <t>lab_sql.py</t>
        </is>
      </c>
      <c r="B298" s="21" t="inlineStr">
        <is>
          <t>공통</t>
        </is>
      </c>
      <c r="C298" s="20" t="inlineStr">
        <is>
          <t>FORBIDDEN</t>
        </is>
      </c>
      <c r="D298" s="21" t="inlineStr">
        <is>
          <t>설정값</t>
        </is>
      </c>
      <c r="E298" s="20" t="inlineStr">
        <is>
          <t>값 = \b(INSERT|UPDATE|DELETE|MERGE|DROP|ALTER|CREATE|TRUNCATE|GRA</t>
        </is>
      </c>
      <c r="F298" s="21" t="n">
        <v>203</v>
      </c>
      <c r="G298" s="11" t="inlineStr"/>
      <c r="H298" s="12" t="inlineStr"/>
    </row>
    <row r="299">
      <c r="A299" s="5" t="inlineStr">
        <is>
          <t>lab_sql.py</t>
        </is>
      </c>
      <c r="B299" s="10" t="inlineStr">
        <is>
          <t>공통</t>
        </is>
      </c>
      <c r="C299" s="5" t="inlineStr">
        <is>
          <t>add_limit(sql, n, dialect)</t>
        </is>
      </c>
      <c r="D299" s="10" t="inlineStr">
        <is>
          <t>함수</t>
        </is>
      </c>
      <c r="E299" s="5" t="inlineStr"/>
      <c r="F299" s="10" t="n">
        <v>206</v>
      </c>
      <c r="G299" s="11" t="inlineStr"/>
      <c r="H299" s="12" t="inlineStr"/>
    </row>
    <row r="300">
      <c r="A300" s="5" t="inlineStr">
        <is>
          <t>lab_sql.py</t>
        </is>
      </c>
      <c r="B300" s="10" t="inlineStr">
        <is>
          <t>공통</t>
        </is>
      </c>
      <c r="C300" s="5" t="inlineStr">
        <is>
          <t>used_tables(sql)</t>
        </is>
      </c>
      <c r="D300" s="10" t="inlineStr">
        <is>
          <t>함수</t>
        </is>
      </c>
      <c r="E300" s="5" t="inlineStr"/>
      <c r="F300" s="10" t="n">
        <v>213</v>
      </c>
      <c r="G300" s="11" t="inlineStr"/>
      <c r="H300" s="12" t="inlineStr"/>
    </row>
    <row r="301">
      <c r="A301" s="5" t="inlineStr">
        <is>
          <t>lab_sql.py</t>
        </is>
      </c>
      <c r="B301" s="10" t="inlineStr">
        <is>
          <t>공통</t>
        </is>
      </c>
      <c r="C301" s="5" t="inlineStr">
        <is>
          <t>used_columns(sql)</t>
        </is>
      </c>
      <c r="D301" s="10" t="inlineStr">
        <is>
          <t>함수</t>
        </is>
      </c>
      <c r="E301" s="5" t="inlineStr"/>
      <c r="F301" s="10" t="n">
        <v>217</v>
      </c>
      <c r="G301" s="11" t="inlineStr"/>
      <c r="H301" s="12" t="inlineStr"/>
    </row>
    <row r="302">
      <c r="A302" s="5" t="inlineStr">
        <is>
          <t>lab_sql.py</t>
        </is>
      </c>
      <c r="B302" s="10" t="inlineStr">
        <is>
          <t>공통</t>
        </is>
      </c>
      <c r="C302" s="5" t="inlineStr">
        <is>
          <t>validate(sql, cat, dialect, max_rows)</t>
        </is>
      </c>
      <c r="D302" s="10" t="inlineStr">
        <is>
          <t>함수</t>
        </is>
      </c>
      <c r="E302" s="5" t="inlineStr">
        <is>
          <t>실행 전 차단. 반환: dict(ok, problems[], sql=보정된 SQL)</t>
        </is>
      </c>
      <c r="F302" s="10" t="n">
        <v>225</v>
      </c>
      <c r="G302" s="11" t="inlineStr"/>
      <c r="H302" s="12" t="inlineStr"/>
    </row>
    <row r="303">
      <c r="A303" s="5" t="inlineStr">
        <is>
          <t>lab_sql.py</t>
        </is>
      </c>
      <c r="B303" s="10" t="inlineStr">
        <is>
          <t>공통</t>
        </is>
      </c>
      <c r="C303" s="5" t="inlineStr">
        <is>
          <t>run_sql(sql, dialect, max_rows)</t>
        </is>
      </c>
      <c r="D303" s="10" t="inlineStr">
        <is>
          <t>함수</t>
        </is>
      </c>
      <c r="E303" s="5" t="inlineStr">
        <is>
          <t>sample=SQLite(샘플 정형 DB), live=Oracle. 읽기 전용 계정 권장.</t>
        </is>
      </c>
      <c r="F303" s="10" t="n">
        <v>256</v>
      </c>
      <c r="G303" s="11" t="inlineStr"/>
      <c r="H303" s="12" t="inlineStr"/>
    </row>
    <row r="304">
      <c r="A304" s="5" t="inlineStr">
        <is>
          <t>lab_sql.py</t>
        </is>
      </c>
      <c r="B304" s="10" t="inlineStr">
        <is>
          <t>공통</t>
        </is>
      </c>
      <c r="C304" s="5" t="inlineStr">
        <is>
          <t>explain(sql, dialect)</t>
        </is>
      </c>
      <c r="D304" s="10" t="inlineStr">
        <is>
          <t>함수</t>
        </is>
      </c>
      <c r="E304" s="5" t="inlineStr">
        <is>
          <t>드라이런 — 문법 · 비용 확인 (결과를 읽지 않는다).</t>
        </is>
      </c>
      <c r="F304" s="10" t="n">
        <v>273</v>
      </c>
      <c r="G304" s="11" t="inlineStr"/>
      <c r="H304" s="12" t="inlineStr"/>
    </row>
    <row r="305">
      <c r="A305" s="5" t="inlineStr">
        <is>
          <t>lab_sql.py</t>
        </is>
      </c>
      <c r="B305" s="10" t="inlineStr">
        <is>
          <t>공통</t>
        </is>
      </c>
      <c r="C305" s="5" t="inlineStr">
        <is>
          <t>_norm(v, nd)</t>
        </is>
      </c>
      <c r="D305" s="10" t="inlineStr">
        <is>
          <t>함수</t>
        </is>
      </c>
      <c r="E305" s="5" t="inlineStr"/>
      <c r="F305" s="10" t="n">
        <v>291</v>
      </c>
      <c r="G305" s="11" t="inlineStr"/>
      <c r="H305" s="12" t="inlineStr"/>
    </row>
    <row r="306">
      <c r="A306" s="5" t="inlineStr">
        <is>
          <t>lab_sql.py</t>
        </is>
      </c>
      <c r="B306" s="10" t="inlineStr">
        <is>
          <t>공통</t>
        </is>
      </c>
      <c r="C306" s="5" t="inlineStr">
        <is>
          <t>exec_match(pred, gold, nd)</t>
        </is>
      </c>
      <c r="D306" s="10" t="inlineStr">
        <is>
          <t>함수</t>
        </is>
      </c>
      <c r="E306" s="5" t="inlineStr">
        <is>
          <t>결과 값 일치(EX) — 컬럼 순서 · 이름은 무시하고 값 집합으로 비교.</t>
        </is>
      </c>
      <c r="F306" s="10" t="n">
        <v>297</v>
      </c>
      <c r="G306" s="11" t="inlineStr"/>
      <c r="H306" s="12" t="inlineStr"/>
    </row>
    <row r="307">
      <c r="A307" s="5" t="inlineStr">
        <is>
          <t>lab_sql.py</t>
        </is>
      </c>
      <c r="B307" s="10" t="inlineStr">
        <is>
          <t>공통</t>
        </is>
      </c>
      <c r="C307" s="5" t="inlineStr">
        <is>
          <t>answer_from_sql(question, df, meta_label, llm)</t>
        </is>
      </c>
      <c r="D307" s="10" t="inlineStr">
        <is>
          <t>함수</t>
        </is>
      </c>
      <c r="E307" s="5" t="inlineStr">
        <is>
          <t>S26 결합 — 표(Markdown) + 출처 라벨을 컨텍스트로 만들어 사내 LLM 에 요약을 맡긴다.</t>
        </is>
      </c>
      <c r="F307" s="10" t="n">
        <v>306</v>
      </c>
      <c r="G307" s="11" t="inlineStr"/>
      <c r="H307" s="12" t="inlineStr"/>
    </row>
    <row r="308">
      <c r="A308" s="5" t="inlineStr">
        <is>
          <t>lab_text.py</t>
        </is>
      </c>
      <c r="B308" s="10" t="inlineStr">
        <is>
          <t>공통</t>
        </is>
      </c>
      <c r="C308" s="5" t="inlineStr">
        <is>
          <t>tokenizer()</t>
        </is>
      </c>
      <c r="D308" s="10" t="inlineStr">
        <is>
          <t>함수</t>
        </is>
      </c>
      <c r="E308" s="5" t="inlineStr">
        <is>
          <t>BGE-M3 토크나이저 (transformers + 모델 폴더가 있을 때). 없으면 None.</t>
        </is>
      </c>
      <c r="F308" s="10" t="n">
        <v>21</v>
      </c>
      <c r="G308" s="11" t="inlineStr"/>
      <c r="H308" s="12" t="inlineStr"/>
    </row>
    <row r="309">
      <c r="A309" s="5" t="inlineStr">
        <is>
          <t>lab_text.py</t>
        </is>
      </c>
      <c r="B309" s="10" t="inlineStr">
        <is>
          <t>공통</t>
        </is>
      </c>
      <c r="C309" s="5" t="inlineStr">
        <is>
          <t>count_tokens(text)</t>
        </is>
      </c>
      <c r="D309" s="10" t="inlineStr">
        <is>
          <t>함수</t>
        </is>
      </c>
      <c r="E309" s="5" t="inlineStr">
        <is>
          <t>토큰 수. 토크나이저가 없으면 근사(한글 1자≈0.8토큰, 영숫자 4자≈1토큰).</t>
        </is>
      </c>
      <c r="F309" s="10" t="n">
        <v>34</v>
      </c>
      <c r="G309" s="11" t="inlineStr"/>
      <c r="H309" s="12" t="inlineStr"/>
    </row>
    <row r="310">
      <c r="A310" s="5" t="inlineStr">
        <is>
          <t>lab_text.py</t>
        </is>
      </c>
      <c r="B310" s="10" t="inlineStr">
        <is>
          <t>공통</t>
        </is>
      </c>
      <c r="C310" s="5" t="inlineStr">
        <is>
          <t>_noise(doc_type)</t>
        </is>
      </c>
      <c r="D310" s="10" t="inlineStr">
        <is>
          <t>함수</t>
        </is>
      </c>
      <c r="E310" s="5" t="inlineStr"/>
      <c r="F310" s="10" t="n">
        <v>47</v>
      </c>
      <c r="G310" s="11" t="inlineStr"/>
      <c r="H310" s="12" t="inlineStr"/>
    </row>
    <row r="311">
      <c r="A311" s="20" t="inlineStr">
        <is>
          <t>lab_text.py</t>
        </is>
      </c>
      <c r="B311" s="21" t="inlineStr">
        <is>
          <t>공통</t>
        </is>
      </c>
      <c r="C311" s="20" t="inlineStr">
        <is>
          <t>EMAIL_CUT</t>
        </is>
      </c>
      <c r="D311" s="21" t="inlineStr">
        <is>
          <t>설정값</t>
        </is>
      </c>
      <c r="E311" s="20" t="inlineStr">
        <is>
          <t>목록 4 개</t>
        </is>
      </c>
      <c r="F311" s="21" t="n">
        <v>51</v>
      </c>
      <c r="G311" s="11" t="inlineStr"/>
      <c r="H311" s="12" t="inlineStr"/>
    </row>
    <row r="312">
      <c r="A312" s="20" t="inlineStr">
        <is>
          <t>lab_text.py</t>
        </is>
      </c>
      <c r="B312" s="21" t="inlineStr">
        <is>
          <t>공통</t>
        </is>
      </c>
      <c r="C312" s="20" t="inlineStr">
        <is>
          <t>EMAIL_SIG</t>
        </is>
      </c>
      <c r="D312" s="21" t="inlineStr">
        <is>
          <t>설정값</t>
        </is>
      </c>
      <c r="E312" s="20" t="inlineStr">
        <is>
          <t>목록 4 개</t>
        </is>
      </c>
      <c r="F312" s="21" t="n">
        <v>52</v>
      </c>
      <c r="G312" s="11" t="inlineStr"/>
      <c r="H312" s="12" t="inlineStr"/>
    </row>
    <row r="313">
      <c r="A313" s="20" t="inlineStr">
        <is>
          <t>lab_text.py</t>
        </is>
      </c>
      <c r="B313" s="21" t="inlineStr">
        <is>
          <t>공통</t>
        </is>
      </c>
      <c r="C313" s="20" t="inlineStr">
        <is>
          <t>EMAIL_DISCLAIMER</t>
        </is>
      </c>
      <c r="D313" s="21" t="inlineStr">
        <is>
          <t>설정값</t>
        </is>
      </c>
      <c r="E313" s="20" t="inlineStr">
        <is>
          <t>목록 2 개</t>
        </is>
      </c>
      <c r="F313" s="21" t="n">
        <v>53</v>
      </c>
      <c r="G313" s="11" t="inlineStr"/>
      <c r="H313" s="12" t="inlineStr"/>
    </row>
    <row r="314">
      <c r="A314" s="5" t="inlineStr">
        <is>
          <t>lab_text.py</t>
        </is>
      </c>
      <c r="B314" s="10" t="inlineStr">
        <is>
          <t>공통</t>
        </is>
      </c>
      <c r="C314" s="5" t="inlineStr">
        <is>
          <t>remove_repeated_lines(text, min_repeat, max_len)</t>
        </is>
      </c>
      <c r="D314" s="10" t="inlineStr">
        <is>
          <t>함수</t>
        </is>
      </c>
      <c r="E314" s="5" t="inlineStr">
        <is>
          <t>여러 번 반복되는 짧은 줄(페이지 머리글 · 바닥글) 제거.</t>
        </is>
      </c>
      <c r="F314" s="10" t="n">
        <v>56</v>
      </c>
      <c r="G314" s="11" t="inlineStr"/>
      <c r="H314" s="12" t="inlineStr"/>
    </row>
    <row r="315">
      <c r="A315" s="5" t="inlineStr">
        <is>
          <t>lab_text.py</t>
        </is>
      </c>
      <c r="B315" s="10" t="inlineStr">
        <is>
          <t>공통</t>
        </is>
      </c>
      <c r="C315" s="5" t="inlineStr">
        <is>
          <t>clean_email(text)</t>
        </is>
      </c>
      <c r="D315" s="10" t="inlineStr">
        <is>
          <t>함수</t>
        </is>
      </c>
      <c r="E315" s="5" t="inlineStr">
        <is>
          <t>인용(이전 메일) 이후 삭제 → '&gt;' 인용 줄 삭제 → 서명 · 면책 삭제.</t>
        </is>
      </c>
      <c r="F315" s="10" t="n">
        <v>64</v>
      </c>
      <c r="G315" s="11" t="inlineStr"/>
      <c r="H315" s="12" t="inlineStr"/>
    </row>
    <row r="316">
      <c r="A316" s="5" t="inlineStr">
        <is>
          <t>lab_text.py</t>
        </is>
      </c>
      <c r="B316" s="10" t="inlineStr">
        <is>
          <t>공통</t>
        </is>
      </c>
      <c r="C316" s="5" t="inlineStr">
        <is>
          <t>clean(text, doc_type)</t>
        </is>
      </c>
      <c r="D316" s="10" t="inlineStr">
        <is>
          <t>함수</t>
        </is>
      </c>
      <c r="E316" s="5" t="inlineStr">
        <is>
          <t>소스 유형별 정제 — 옵션 · 규칙은 lab_sources 에서 가져온다.</t>
        </is>
      </c>
      <c r="F316" s="10" t="n">
        <v>81</v>
      </c>
      <c r="G316" s="11" t="inlineStr"/>
      <c r="H316" s="12" t="inlineStr"/>
    </row>
    <row r="317">
      <c r="A317" s="5" t="inlineStr">
        <is>
          <t>lab_text.py</t>
        </is>
      </c>
      <c r="B317" s="10" t="inlineStr">
        <is>
          <t>공통</t>
        </is>
      </c>
      <c r="C317" s="5" t="inlineStr">
        <is>
          <t>ends_mid_sentence(chunk)</t>
        </is>
      </c>
      <c r="D317" s="10" t="inlineStr">
        <is>
          <t>함수</t>
        </is>
      </c>
      <c r="E317" s="5" t="inlineStr">
        <is>
          <t>청크가 문장 중간에서 끝났는지 (마지막 글자가 종결 표현이 아니면 True).</t>
        </is>
      </c>
      <c r="F317" s="10" t="n">
        <v>100</v>
      </c>
      <c r="G317" s="11" t="inlineStr"/>
      <c r="H317" s="12" t="inlineStr"/>
    </row>
    <row r="318">
      <c r="A318" s="5" t="inlineStr">
        <is>
          <t>lab_text.py</t>
        </is>
      </c>
      <c r="B318" s="10" t="inlineStr">
        <is>
          <t>공통</t>
        </is>
      </c>
      <c r="C318" s="5" t="inlineStr">
        <is>
          <t>table_suspect(text)</t>
        </is>
      </c>
      <c r="D318" s="10" t="inlineStr">
        <is>
          <t>함수</t>
        </is>
      </c>
      <c r="E318" s="5" t="inlineStr">
        <is>
          <t>구분자 없는 표 의심: 숫자 · %가 2개 이상인 짧은 줄이 3줄 이상 연속하고 '|' 표기가 없음.</t>
        </is>
      </c>
      <c r="F318" s="10" t="n">
        <v>106</v>
      </c>
      <c r="G318" s="11" t="inlineStr"/>
      <c r="H318" s="12" t="inlineStr"/>
    </row>
    <row r="319">
      <c r="A319" s="5" t="inlineStr">
        <is>
          <t>lab_text.py</t>
        </is>
      </c>
      <c r="B319" s="10" t="inlineStr">
        <is>
          <t>공통</t>
        </is>
      </c>
      <c r="C319" s="5" t="inlineStr">
        <is>
          <t>noise_left(text, doc_type)</t>
        </is>
      </c>
      <c r="D319" s="10" t="inlineStr">
        <is>
          <t>함수</t>
        </is>
      </c>
      <c r="E319" s="5" t="inlineStr">
        <is>
          <t>정제 규칙에 걸리는 문구가 남아 있는지 (정제 전 점검).</t>
        </is>
      </c>
      <c r="F319" s="10" t="n">
        <v>119</v>
      </c>
      <c r="G319" s="11" t="inlineStr"/>
      <c r="H319" s="12" t="inlineStr"/>
    </row>
    <row r="320">
      <c r="A320" s="5" t="inlineStr">
        <is>
          <t>lab_text.py</t>
        </is>
      </c>
      <c r="B320" s="10" t="inlineStr">
        <is>
          <t>공통</t>
        </is>
      </c>
      <c r="C320" s="5" t="inlineStr">
        <is>
          <t>has_header(chunk, title)</t>
        </is>
      </c>
      <c r="D320" s="10" t="inlineStr">
        <is>
          <t>함수</t>
        </is>
      </c>
      <c r="E320" s="5" t="inlineStr">
        <is>
          <t>청크 텍스트에 제목 · 날짜가 들어 있는지 (헤더 부착 여부).</t>
        </is>
      </c>
      <c r="F320" s="10" t="n">
        <v>126</v>
      </c>
      <c r="G320" s="11" t="inlineStr"/>
      <c r="H320" s="12" t="inlineStr"/>
    </row>
    <row r="321">
      <c r="A321" s="5" t="inlineStr">
        <is>
          <t>lab_text.py</t>
        </is>
      </c>
      <c r="B321" s="10" t="inlineStr">
        <is>
          <t>공통</t>
        </is>
      </c>
      <c r="C321" s="5" t="inlineStr">
        <is>
          <t>build_header(row)</t>
        </is>
      </c>
      <c r="D321" s="10" t="inlineStr">
        <is>
          <t>함수</t>
        </is>
      </c>
      <c r="E321" s="5" t="inlineStr">
        <is>
          <t>[유형 | 날짜 | 기관 | 제목 | 섹션] — 청크 앞에 붙일 문맥 헤더.</t>
        </is>
      </c>
      <c r="F321" s="10" t="n">
        <v>134</v>
      </c>
      <c r="G321" s="11" t="inlineStr"/>
      <c r="H321" s="12" t="inlineStr"/>
    </row>
    <row r="322">
      <c r="A322" s="5" t="inlineStr">
        <is>
          <t>lab_text.py</t>
        </is>
      </c>
      <c r="B322" s="10" t="inlineStr">
        <is>
          <t>공통</t>
        </is>
      </c>
      <c r="C322" s="5" t="inlineStr">
        <is>
          <t>_shingles(text, k)</t>
        </is>
      </c>
      <c r="D322" s="10" t="inlineStr">
        <is>
          <t>함수</t>
        </is>
      </c>
      <c r="E322" s="5" t="inlineStr"/>
      <c r="F322" s="10" t="n">
        <v>145</v>
      </c>
      <c r="G322" s="11" t="inlineStr"/>
      <c r="H322" s="12" t="inlineStr"/>
    </row>
    <row r="323">
      <c r="A323" s="5" t="inlineStr">
        <is>
          <t>lab_text.py</t>
        </is>
      </c>
      <c r="B323" s="10" t="inlineStr">
        <is>
          <t>공통</t>
        </is>
      </c>
      <c r="C323" s="5" t="inlineStr">
        <is>
          <t>minhash_sig(text, n_perm, seed)</t>
        </is>
      </c>
      <c r="D323" s="10" t="inlineStr">
        <is>
          <t>함수</t>
        </is>
      </c>
      <c r="E323" s="5" t="inlineStr"/>
      <c r="F323" s="10" t="n">
        <v>150</v>
      </c>
      <c r="G323" s="11" t="inlineStr"/>
      <c r="H323" s="12" t="inlineStr"/>
    </row>
    <row r="324">
      <c r="A324" s="5" t="inlineStr">
        <is>
          <t>lab_text.py</t>
        </is>
      </c>
      <c r="B324" s="10" t="inlineStr">
        <is>
          <t>공통</t>
        </is>
      </c>
      <c r="C324" s="5" t="inlineStr">
        <is>
          <t>near_duplicates(df, text_col, id_col, threshold, bands)</t>
        </is>
      </c>
      <c r="D324" s="10" t="inlineStr">
        <is>
          <t>함수</t>
        </is>
      </c>
      <c r="E324" s="5" t="inlineStr">
        <is>
          <t>MinHash + LSH 로 근사 중복 쌍 찾기. 수만 건까지 가볍게 돈다.</t>
        </is>
      </c>
      <c r="F324" s="10" t="n">
        <v>159</v>
      </c>
      <c r="G324" s="11" t="inlineStr"/>
      <c r="H324" s="12" t="inlineStr"/>
    </row>
    <row r="325">
      <c r="A325" s="5" t="inlineStr">
        <is>
          <t>lab_text.py</t>
        </is>
      </c>
      <c r="B325" s="10" t="inlineStr">
        <is>
          <t>공통</t>
        </is>
      </c>
      <c r="C325" s="5" t="inlineStr">
        <is>
          <t>chunk_text(text, doc_type)</t>
        </is>
      </c>
      <c r="D325" s="10" t="inlineStr">
        <is>
          <t>함수</t>
        </is>
      </c>
      <c r="E325" s="5" t="inlineStr">
        <is>
          <t>유형별 목표 크기로 문단 경계 분할. lab_sources.SOURCES[코드]['chunk'] 를 그대로 따른다.</t>
        </is>
      </c>
      <c r="F325" s="10" t="n">
        <v>174</v>
      </c>
      <c r="G325" s="11" t="inlineStr"/>
      <c r="H325" s="12" t="inlineStr"/>
    </row>
    <row r="326">
      <c r="A326" s="20" t="inlineStr">
        <is>
          <t>nb01_inventory.py</t>
        </is>
      </c>
      <c r="B326" s="21" t="inlineStr">
        <is>
          <t>선택</t>
        </is>
      </c>
      <c r="C326" s="20" t="inlineStr">
        <is>
          <t>N_PER_TYPE</t>
        </is>
      </c>
      <c r="D326" s="21" t="inlineStr">
        <is>
          <t>설정값</t>
        </is>
      </c>
      <c r="E326" s="20" t="inlineStr">
        <is>
          <t>값 = 50</t>
        </is>
      </c>
      <c r="F326" s="21" t="n">
        <v>39</v>
      </c>
      <c r="G326" s="11" t="inlineStr"/>
      <c r="H326" s="12" t="inlineStr"/>
    </row>
    <row r="327">
      <c r="A327" s="20" t="inlineStr">
        <is>
          <t>nb01_inventory.py</t>
        </is>
      </c>
      <c r="B327" s="21" t="inlineStr">
        <is>
          <t>선택</t>
        </is>
      </c>
      <c r="C327" s="20" t="inlineStr">
        <is>
          <t>META_COLS</t>
        </is>
      </c>
      <c r="D327" s="21" t="inlineStr">
        <is>
          <t>설정값</t>
        </is>
      </c>
      <c r="E327" s="20" t="inlineStr">
        <is>
          <t>[c for c in ('title', 'published_at', 'org_name', 'author', 'security_</t>
        </is>
      </c>
      <c r="F327" s="21" t="n">
        <v>44</v>
      </c>
      <c r="G327" s="11" t="inlineStr"/>
      <c r="H327" s="12" t="inlineStr"/>
    </row>
    <row r="328">
      <c r="A328" s="5" t="inlineStr">
        <is>
          <t>nb01_inventory.py</t>
        </is>
      </c>
      <c r="B328" s="10" t="inlineStr">
        <is>
          <t>선택</t>
        </is>
      </c>
      <c r="C328" s="5" t="inlineStr">
        <is>
          <t>_store(g)</t>
        </is>
      </c>
      <c r="D328" s="10" t="inlineStr">
        <is>
          <t>함수</t>
        </is>
      </c>
      <c r="E328" s="5" t="inlineStr"/>
      <c r="F328" s="10" t="n">
        <v>50</v>
      </c>
      <c r="G328" s="11" t="inlineStr"/>
      <c r="H328" s="12" t="inlineStr"/>
    </row>
    <row r="329">
      <c r="A329" s="20" t="inlineStr">
        <is>
          <t>nb02_parse_chunk.py</t>
        </is>
      </c>
      <c r="B329" s="21" t="inlineStr">
        <is>
          <t>핵심</t>
        </is>
      </c>
      <c r="C329" s="20" t="inlineStr">
        <is>
          <t>N_PER_TYPE</t>
        </is>
      </c>
      <c r="D329" s="21" t="inlineStr">
        <is>
          <t>설정값</t>
        </is>
      </c>
      <c r="E329" s="20" t="inlineStr">
        <is>
          <t>값 = 30</t>
        </is>
      </c>
      <c r="F329" s="21" t="n">
        <v>26</v>
      </c>
      <c r="G329" s="11" t="inlineStr"/>
      <c r="H329" s="12" t="inlineStr"/>
    </row>
    <row r="330">
      <c r="A330" s="20" t="inlineStr">
        <is>
          <t>nb02_parse_chunk.py</t>
        </is>
      </c>
      <c r="B330" s="21" t="inlineStr">
        <is>
          <t>핵심</t>
        </is>
      </c>
      <c r="C330" s="20" t="inlineStr">
        <is>
          <t>DOC_ID</t>
        </is>
      </c>
      <c r="D330" s="21" t="inlineStr">
        <is>
          <t>설정값</t>
        </is>
      </c>
      <c r="E330" s="20" t="inlineStr">
        <is>
          <t>raw_s.loc[raw_s.doc_type == 'EMAIL', 'doc_id'].iloc[0] if (raw_s.doc_t</t>
        </is>
      </c>
      <c r="F330" s="21" t="n">
        <v>63</v>
      </c>
      <c r="G330" s="11" t="inlineStr"/>
      <c r="H330" s="12" t="inlineStr"/>
    </row>
    <row r="331">
      <c r="A331" s="20" t="inlineStr">
        <is>
          <t>nb03_bm25_tokenizer.py</t>
        </is>
      </c>
      <c r="B331" s="21" t="inlineStr">
        <is>
          <t>선택</t>
        </is>
      </c>
      <c r="C331" s="20" t="inlineStr">
        <is>
          <t>SENTENCES</t>
        </is>
      </c>
      <c r="D331" s="21" t="inlineStr">
        <is>
          <t>설정값</t>
        </is>
      </c>
      <c r="E331" s="20" t="inlineStr">
        <is>
          <t>목록 4 개</t>
        </is>
      </c>
      <c r="F331" s="21" t="n">
        <v>27</v>
      </c>
      <c r="G331" s="11" t="inlineStr"/>
      <c r="H331" s="12" t="inlineStr"/>
    </row>
    <row r="332">
      <c r="A332" s="20" t="inlineStr">
        <is>
          <t>nb03_bm25_tokenizer.py</t>
        </is>
      </c>
      <c r="B332" s="21" t="inlineStr">
        <is>
          <t>선택</t>
        </is>
      </c>
      <c r="C332" s="20" t="inlineStr">
        <is>
          <t>TOKENIZERS</t>
        </is>
      </c>
      <c r="D332" s="21" t="inlineStr">
        <is>
          <t>설정값</t>
        </is>
      </c>
      <c r="E332" s="20" t="inlineStr">
        <is>
          <t>목록 3 개</t>
        </is>
      </c>
      <c r="F332" s="21" t="n">
        <v>29</v>
      </c>
      <c r="G332" s="11" t="inlineStr"/>
      <c r="H332" s="12" t="inlineStr"/>
    </row>
    <row r="333">
      <c r="A333" s="20" t="inlineStr">
        <is>
          <t>nb03_bm25_tokenizer.py</t>
        </is>
      </c>
      <c r="B333" s="21" t="inlineStr">
        <is>
          <t>선택</t>
        </is>
      </c>
      <c r="C333" s="20" t="inlineStr">
        <is>
          <t>CORPUS_N</t>
        </is>
      </c>
      <c r="D333" s="21" t="inlineStr">
        <is>
          <t>설정값</t>
        </is>
      </c>
      <c r="E333" s="20" t="inlineStr">
        <is>
          <t>live: 불러올 청크 수 (메모리에 맞게)</t>
        </is>
      </c>
      <c r="F333" s="21" t="n">
        <v>35</v>
      </c>
      <c r="G333" s="11" t="inlineStr"/>
      <c r="H333" s="12" t="inlineStr"/>
    </row>
    <row r="334">
      <c r="A334" s="20" t="inlineStr">
        <is>
          <t>nb03_bm25_tokenizer.py</t>
        </is>
      </c>
      <c r="B334" s="21" t="inlineStr">
        <is>
          <t>선택</t>
        </is>
      </c>
      <c r="C334" s="20" t="inlineStr">
        <is>
          <t>QUERY</t>
        </is>
      </c>
      <c r="D334" s="21" t="inlineStr">
        <is>
          <t>설정값</t>
        </is>
      </c>
      <c r="E334" s="20" t="inlineStr">
        <is>
          <t>값 = 하이닉스의 HBM 점유율 추정치는?</t>
        </is>
      </c>
      <c r="F334" s="21" t="n">
        <v>63</v>
      </c>
      <c r="G334" s="11" t="inlineStr"/>
      <c r="H334" s="12" t="inlineStr"/>
    </row>
    <row r="335">
      <c r="A335" s="20" t="inlineStr">
        <is>
          <t>nb04_milvus.py</t>
        </is>
      </c>
      <c r="B335" s="21" t="inlineStr">
        <is>
          <t>선택</t>
        </is>
      </c>
      <c r="C335" s="20" t="inlineStr">
        <is>
          <t>LIVE</t>
        </is>
      </c>
      <c r="D335" s="21" t="inlineStr">
        <is>
          <t>설정값</t>
        </is>
      </c>
      <c r="E335" s="20" t="inlineStr">
        <is>
          <t>not C.IS_SAMPLE</t>
        </is>
      </c>
      <c r="F335" s="21" t="n">
        <v>24</v>
      </c>
      <c r="G335" s="11" t="inlineStr"/>
      <c r="H335" s="12" t="inlineStr"/>
    </row>
    <row r="336">
      <c r="A336" s="20" t="inlineStr">
        <is>
          <t>nb04_milvus.py</t>
        </is>
      </c>
      <c r="B336" s="21" t="inlineStr">
        <is>
          <t>선택</t>
        </is>
      </c>
      <c r="C336" s="20" t="inlineStr">
        <is>
          <t>NEED</t>
        </is>
      </c>
      <c r="D336" s="21" t="inlineStr">
        <is>
          <t>설정값</t>
        </is>
      </c>
      <c r="E336" s="20" t="inlineStr">
        <is>
          <t>딕셔너리 8 항목</t>
        </is>
      </c>
      <c r="F336" s="21" t="n">
        <v>50</v>
      </c>
      <c r="G336" s="11" t="inlineStr"/>
      <c r="H336" s="12" t="inlineStr"/>
    </row>
    <row r="337">
      <c r="A337" s="20" t="inlineStr">
        <is>
          <t>nb04_milvus.py</t>
        </is>
      </c>
      <c r="B337" s="21" t="inlineStr">
        <is>
          <t>선택</t>
        </is>
      </c>
      <c r="C337" s="20" t="inlineStr">
        <is>
          <t>QUERY</t>
        </is>
      </c>
      <c r="D337" s="21" t="inlineStr">
        <is>
          <t>설정값</t>
        </is>
      </c>
      <c r="E337" s="20" t="inlineStr">
        <is>
          <t>값 = 3분기 DRAM 계약가격 전망</t>
        </is>
      </c>
      <c r="F337" s="21" t="n">
        <v>67</v>
      </c>
      <c r="G337" s="11" t="inlineStr"/>
      <c r="H337" s="12" t="inlineStr"/>
    </row>
    <row r="338">
      <c r="A338" s="20" t="inlineStr">
        <is>
          <t>nb04_milvus.py</t>
        </is>
      </c>
      <c r="B338" s="21" t="inlineStr">
        <is>
          <t>선택</t>
        </is>
      </c>
      <c r="C338" s="20" t="inlineStr">
        <is>
          <t>FILTER</t>
        </is>
      </c>
      <c r="D338" s="21" t="inlineStr">
        <is>
          <t>설정값</t>
        </is>
      </c>
      <c r="E338" s="20" t="inlineStr">
        <is>
          <t>사내 필드 · 값에 맞게</t>
        </is>
      </c>
      <c r="F338" s="21" t="n">
        <v>68</v>
      </c>
      <c r="G338" s="11" t="inlineStr"/>
      <c r="H338" s="12" t="inlineStr"/>
    </row>
    <row r="339">
      <c r="A339" s="20" t="inlineStr">
        <is>
          <t>nb05_smoke_test.py</t>
        </is>
      </c>
      <c r="B339" s="21" t="inlineStr">
        <is>
          <t>선택</t>
        </is>
      </c>
      <c r="C339" s="20" t="inlineStr">
        <is>
          <t>HOW</t>
        </is>
      </c>
      <c r="D339" s="21" t="inlineStr">
        <is>
          <t>설정값</t>
        </is>
      </c>
      <c r="E339" s="20" t="inlineStr">
        <is>
          <t>'api' if C.SEARCH_API_URL and (not C.IS_SAMPLE) else 'lab'</t>
        </is>
      </c>
      <c r="F339" s="21" t="n">
        <v>32</v>
      </c>
      <c r="G339" s="11" t="inlineStr"/>
      <c r="H339" s="12" t="inlineStr"/>
    </row>
    <row r="340">
      <c r="A340" s="20" t="inlineStr">
        <is>
          <t>nb05_smoke_test.py</t>
        </is>
      </c>
      <c r="B340" s="21" t="inlineStr">
        <is>
          <t>선택</t>
        </is>
      </c>
      <c r="C340" s="20" t="inlineStr">
        <is>
          <t>JUDGED</t>
        </is>
      </c>
      <c r="D340" s="21" t="inlineStr">
        <is>
          <t>설정값</t>
        </is>
      </c>
      <c r="E340" s="20" t="inlineStr">
        <is>
          <t>← 판정을 채운 파일 경로</t>
        </is>
      </c>
      <c r="F340" s="21" t="n">
        <v>60</v>
      </c>
      <c r="G340" s="11" t="inlineStr"/>
      <c r="H340" s="12" t="inlineStr"/>
    </row>
    <row r="341">
      <c r="A341" s="20" t="inlineStr">
        <is>
          <t>nb06_retrieval_eval.py</t>
        </is>
      </c>
      <c r="B341" s="21" t="inlineStr">
        <is>
          <t>핵심</t>
        </is>
      </c>
      <c r="C341" s="20" t="inlineStr">
        <is>
          <t>PARTS</t>
        </is>
      </c>
      <c r="D341" s="21" t="inlineStr">
        <is>
          <t>설정값</t>
        </is>
      </c>
      <c r="E341" s="20" t="inlineStr">
        <is>
          <t>live 에서 sparse 필드가 없으면 ('bm25', 'dense')</t>
        </is>
      </c>
      <c r="F341" s="21" t="n">
        <v>30</v>
      </c>
      <c r="G341" s="11" t="inlineStr"/>
      <c r="H341" s="12" t="inlineStr"/>
    </row>
    <row r="342">
      <c r="A342" s="20" t="inlineStr">
        <is>
          <t>nb06_retrieval_eval.py</t>
        </is>
      </c>
      <c r="B342" s="21" t="inlineStr">
        <is>
          <t>핵심</t>
        </is>
      </c>
      <c r="C342" s="20" t="inlineStr">
        <is>
          <t>BM25_TOK</t>
        </is>
      </c>
      <c r="D342" s="21" t="inlineStr">
        <is>
          <t>설정값</t>
        </is>
      </c>
      <c r="E342" s="20" t="inlineStr">
        <is>
          <t>space | josa | kiwi</t>
        </is>
      </c>
      <c r="F342" s="21" t="n">
        <v>31</v>
      </c>
      <c r="G342" s="11" t="inlineStr"/>
      <c r="H342" s="12" t="inlineStr"/>
    </row>
    <row r="343">
      <c r="A343" s="20" t="inlineStr">
        <is>
          <t>nb06_retrieval_eval.py</t>
        </is>
      </c>
      <c r="B343" s="21" t="inlineStr">
        <is>
          <t>핵심</t>
        </is>
      </c>
      <c r="C343" s="20" t="inlineStr">
        <is>
          <t>CORPUS_N</t>
        </is>
      </c>
      <c r="D343" s="21" t="inlineStr">
        <is>
          <t>설정값</t>
        </is>
      </c>
      <c r="E343" s="20" t="inlineStr">
        <is>
          <t>값 = 50000</t>
        </is>
      </c>
      <c r="F343" s="21" t="n">
        <v>32</v>
      </c>
      <c r="G343" s="11" t="inlineStr"/>
      <c r="H343" s="12" t="inlineStr"/>
    </row>
    <row r="344">
      <c r="A344" s="20" t="inlineStr">
        <is>
          <t>nb06_retrieval_eval.py</t>
        </is>
      </c>
      <c r="B344" s="21" t="inlineStr">
        <is>
          <t>핵심</t>
        </is>
      </c>
      <c r="C344" s="20" t="inlineStr">
        <is>
          <t>MODES</t>
        </is>
      </c>
      <c r="D344" s="21" t="inlineStr">
        <is>
          <t>설정값</t>
        </is>
      </c>
      <c r="E344" s="20" t="inlineStr">
        <is>
          <t>목록 6 개</t>
        </is>
      </c>
      <c r="F344" s="21" t="n">
        <v>42</v>
      </c>
      <c r="G344" s="11" t="inlineStr"/>
      <c r="H344" s="12" t="inlineStr"/>
    </row>
    <row r="345">
      <c r="A345" s="20" t="inlineStr">
        <is>
          <t>nb06_retrieval_eval.py</t>
        </is>
      </c>
      <c r="B345" s="21" t="inlineStr">
        <is>
          <t>핵심</t>
        </is>
      </c>
      <c r="C345" s="20" t="inlineStr">
        <is>
          <t>MODES</t>
        </is>
      </c>
      <c r="D345" s="21" t="inlineStr">
        <is>
          <t>설정값</t>
        </is>
      </c>
      <c r="E345" s="20" t="inlineStr">
        <is>
          <t>쓸 수 없는 검색기는 자동 제외</t>
        </is>
      </c>
      <c r="F345" s="21" t="n">
        <v>43</v>
      </c>
      <c r="G345" s="11" t="inlineStr"/>
      <c r="H345" s="12" t="inlineStr"/>
    </row>
    <row r="346">
      <c r="A346" s="20" t="inlineStr">
        <is>
          <t>nb06_retrieval_eval.py</t>
        </is>
      </c>
      <c r="B346" s="21" t="inlineStr">
        <is>
          <t>핵심</t>
        </is>
      </c>
      <c r="C346" s="20" t="inlineStr">
        <is>
          <t>MODE</t>
        </is>
      </c>
      <c r="D346" s="21" t="inlineStr">
        <is>
          <t>설정값</t>
        </is>
      </c>
      <c r="E346" s="20" t="inlineStr">
        <is>
          <t>값 = hybrid+rerank+mmr</t>
        </is>
      </c>
      <c r="F346" s="21" t="n">
        <v>64</v>
      </c>
      <c r="G346" s="11" t="inlineStr"/>
      <c r="H346" s="12" t="inlineStr"/>
    </row>
    <row r="347">
      <c r="A347" s="20" t="inlineStr">
        <is>
          <t>nb06_retrieval_eval.py</t>
        </is>
      </c>
      <c r="B347" s="21" t="inlineStr">
        <is>
          <t>핵심</t>
        </is>
      </c>
      <c r="C347" s="20" t="inlineStr">
        <is>
          <t>QID</t>
        </is>
      </c>
      <c r="D347" s="21" t="inlineStr">
        <is>
          <t>설정값</t>
        </is>
      </c>
      <c r="E347" s="20" t="inlineStr">
        <is>
          <t>golden.qid.iloc[0]</t>
        </is>
      </c>
      <c r="F347" s="21" t="n">
        <v>70</v>
      </c>
      <c r="G347" s="11" t="inlineStr"/>
      <c r="H347" s="12" t="inlineStr"/>
    </row>
    <row r="348">
      <c r="A348" s="20" t="inlineStr">
        <is>
          <t>nb07_sql_router.py</t>
        </is>
      </c>
      <c r="B348" s="21" t="inlineStr">
        <is>
          <t>선택</t>
        </is>
      </c>
      <c r="C348" s="20" t="inlineStr">
        <is>
          <t>QUESTIONS</t>
        </is>
      </c>
      <c r="D348" s="21" t="inlineStr">
        <is>
          <t>설정값</t>
        </is>
      </c>
      <c r="E348" s="20" t="inlineStr">
        <is>
          <t>목록 6 개</t>
        </is>
      </c>
      <c r="F348" s="21" t="n">
        <v>41</v>
      </c>
      <c r="G348" s="11" t="inlineStr"/>
      <c r="H348" s="12" t="inlineStr"/>
    </row>
    <row r="349">
      <c r="A349" s="20" t="inlineStr">
        <is>
          <t>nb07_sql_router.py</t>
        </is>
      </c>
      <c r="B349" s="21" t="inlineStr">
        <is>
          <t>선택</t>
        </is>
      </c>
      <c r="C349" s="20" t="inlineStr">
        <is>
          <t>QUESTION</t>
        </is>
      </c>
      <c r="D349" s="21" t="inlineStr">
        <is>
          <t>설정값</t>
        </is>
      </c>
      <c r="E349" s="20" t="inlineStr">
        <is>
          <t>값 = 2026년 3분기 eSSD 출하량은?</t>
        </is>
      </c>
      <c r="F349" s="21" t="n">
        <v>58</v>
      </c>
      <c r="G349" s="11" t="inlineStr"/>
      <c r="H349" s="12" t="inlineStr"/>
    </row>
    <row r="350">
      <c r="A350" s="20" t="inlineStr">
        <is>
          <t>nb07_sql_router.py</t>
        </is>
      </c>
      <c r="B350" s="21" t="inlineStr">
        <is>
          <t>선택</t>
        </is>
      </c>
      <c r="C350" s="20" t="inlineStr">
        <is>
          <t>BAD</t>
        </is>
      </c>
      <c r="D350" s="21" t="inlineStr">
        <is>
          <t>설정값</t>
        </is>
      </c>
      <c r="E350" s="20" t="inlineStr">
        <is>
          <t>딕셔너리 4 항목</t>
        </is>
      </c>
      <c r="F350" s="21" t="n">
        <v>67</v>
      </c>
      <c r="G350" s="11" t="inlineStr"/>
      <c r="H350" s="12" t="inlineStr"/>
    </row>
    <row r="351">
      <c r="A351" s="20" t="inlineStr">
        <is>
          <t>nb07_sql_router.py</t>
        </is>
      </c>
      <c r="B351" s="21" t="inlineStr">
        <is>
          <t>선택</t>
        </is>
      </c>
      <c r="C351" s="20" t="inlineStr">
        <is>
          <t>HYBRID_Q</t>
        </is>
      </c>
      <c r="D351" s="21" t="inlineStr">
        <is>
          <t>설정값</t>
        </is>
      </c>
      <c r="E351" s="20" t="inlineStr">
        <is>
          <t>값 = 3분기 eSSD 출하량과 그렇게 본 이유는?</t>
        </is>
      </c>
      <c r="F351" s="21" t="n">
        <v>85</v>
      </c>
      <c r="G351" s="11" t="inlineStr"/>
      <c r="H351" s="12" t="inlineStr"/>
    </row>
    <row r="352">
      <c r="A352" s="20" t="inlineStr">
        <is>
          <t>nb08_auto_eval.py</t>
        </is>
      </c>
      <c r="B352" s="21" t="inlineStr">
        <is>
          <t>선택</t>
        </is>
      </c>
      <c r="C352" s="20" t="inlineStr">
        <is>
          <t>N_KNOWN</t>
        </is>
      </c>
      <c r="D352" s="21" t="inlineStr">
        <is>
          <t>설정값</t>
        </is>
      </c>
      <c r="E352" s="20" t="inlineStr">
        <is>
          <t>값 = 200</t>
        </is>
      </c>
      <c r="F352" s="21" t="n">
        <v>37</v>
      </c>
      <c r="G352" s="11" t="inlineStr"/>
      <c r="H352" s="12" t="inlineStr"/>
    </row>
    <row r="353">
      <c r="A353" s="20" t="inlineStr">
        <is>
          <t>nb08_auto_eval.py</t>
        </is>
      </c>
      <c r="B353" s="21" t="inlineStr">
        <is>
          <t>선택</t>
        </is>
      </c>
      <c r="C353" s="20" t="inlineStr">
        <is>
          <t>N_SYN</t>
        </is>
      </c>
      <c r="D353" s="21" t="inlineStr">
        <is>
          <t>설정값</t>
        </is>
      </c>
      <c r="E353" s="20" t="inlineStr">
        <is>
          <t>값 = 50</t>
        </is>
      </c>
      <c r="F353" s="21" t="n">
        <v>49</v>
      </c>
      <c r="G353" s="11" t="inlineStr"/>
      <c r="H353" s="12" t="inlineStr"/>
    </row>
    <row r="354">
      <c r="A354" s="5" t="inlineStr">
        <is>
          <t>nb08_auto_eval.py</t>
        </is>
      </c>
      <c r="B354" s="10" t="inlineStr">
        <is>
          <t>선택</t>
        </is>
      </c>
      <c r="C354" s="5" t="inlineStr">
        <is>
          <t>run(eval_df, name, k)</t>
        </is>
      </c>
      <c r="D354" s="10" t="inlineStr">
        <is>
          <t>함수</t>
        </is>
      </c>
      <c r="E354" s="5" t="inlineStr"/>
      <c r="F354" s="10" t="n">
        <v>60</v>
      </c>
      <c r="G354" s="11" t="inlineStr"/>
      <c r="H354" s="12" t="inlineStr"/>
    </row>
    <row r="355">
      <c r="A355" s="5" t="inlineStr">
        <is>
          <t>nb08_auto_eval.py</t>
        </is>
      </c>
      <c r="B355" s="10" t="inlineStr">
        <is>
          <t>선택</t>
        </is>
      </c>
      <c r="C355" s="5" t="inlineStr">
        <is>
          <t>_judge(row)</t>
        </is>
      </c>
      <c r="D355" s="10" t="inlineStr">
        <is>
          <t>함수</t>
        </is>
      </c>
      <c r="E355" s="5" t="inlineStr"/>
      <c r="F355" s="10" t="n">
        <v>91</v>
      </c>
      <c r="G355" s="11" t="inlineStr"/>
      <c r="H355" s="12" t="inlineStr"/>
    </row>
    <row r="356">
      <c r="A356" s="20" t="inlineStr">
        <is>
          <t>nb09_golden_build.py</t>
        </is>
      </c>
      <c r="B356" s="21" t="inlineStr">
        <is>
          <t>참고</t>
        </is>
      </c>
      <c r="C356" s="20" t="inlineStr">
        <is>
          <t>REVIEWED</t>
        </is>
      </c>
      <c r="D356" s="21" t="inlineStr">
        <is>
          <t>설정값</t>
        </is>
      </c>
      <c r="E356" s="20" t="inlineStr">
        <is>
          <t>← 검수 완료 파일 경로로 교체</t>
        </is>
      </c>
      <c r="F356" s="21" t="n">
        <v>44</v>
      </c>
      <c r="G356" s="11" t="inlineStr"/>
      <c r="H356" s="12" t="inlineStr"/>
    </row>
    <row r="357">
      <c r="A357" s="20" t="inlineStr">
        <is>
          <t>nb10_answer_eval.py</t>
        </is>
      </c>
      <c r="B357" s="21" t="inlineStr">
        <is>
          <t>핵심</t>
        </is>
      </c>
      <c r="C357" s="20" t="inlineStr">
        <is>
          <t>THRESH</t>
        </is>
      </c>
      <c r="D357" s="21" t="inlineStr">
        <is>
          <t>설정값</t>
        </is>
      </c>
      <c r="E357" s="20" t="inlineStr">
        <is>
          <t>딕셔너리 5 항목</t>
        </is>
      </c>
      <c r="F357" s="21" t="n">
        <v>73</v>
      </c>
      <c r="G357" s="11" t="inlineStr"/>
      <c r="H357" s="12" t="inlineStr"/>
    </row>
    <row r="358">
      <c r="A358" s="20" t="inlineStr">
        <is>
          <t>nb10_answer_eval.py</t>
        </is>
      </c>
      <c r="B358" s="21" t="inlineStr">
        <is>
          <t>핵심</t>
        </is>
      </c>
      <c r="C358" s="20" t="inlineStr">
        <is>
          <t>TARGET</t>
        </is>
      </c>
      <c r="D358" s="21" t="inlineStr">
        <is>
          <t>설정값</t>
        </is>
      </c>
      <c r="E358" s="20" t="inlineStr">
        <is>
          <t>'LLM' if 'LLM' in by_mode.index else '추출식'</t>
        </is>
      </c>
      <c r="F358" s="21" t="n">
        <v>78</v>
      </c>
      <c r="G358" s="11" t="inlineStr"/>
      <c r="H358" s="12" t="inlineStr"/>
    </row>
    <row r="359">
      <c r="A359" s="20" t="inlineStr">
        <is>
          <t>nb11_evidence_link.py</t>
        </is>
      </c>
      <c r="B359" s="21" t="inlineStr">
        <is>
          <t>선택</t>
        </is>
      </c>
      <c r="C359" s="20" t="inlineStr">
        <is>
          <t>LINKED</t>
        </is>
      </c>
      <c r="D359" s="21" t="inlineStr">
        <is>
          <t>설정값</t>
        </is>
      </c>
      <c r="E359" s="20" t="inlineStr">
        <is>
          <t>← 판정 완료 파일 경로</t>
        </is>
      </c>
      <c r="F359" s="21" t="n">
        <v>46</v>
      </c>
      <c r="G359" s="11" t="inlineStr"/>
      <c r="H359" s="12" t="inlineStr"/>
    </row>
    <row r="360">
      <c r="A360" s="20" t="inlineStr">
        <is>
          <t>nb12_golden_llm.py</t>
        </is>
      </c>
      <c r="B360" s="21" t="inlineStr">
        <is>
          <t>핵심</t>
        </is>
      </c>
      <c r="C360" s="20" t="inlineStr">
        <is>
          <t>USE_LLM</t>
        </is>
      </c>
      <c r="D360" s="21" t="inlineStr">
        <is>
          <t>설정값</t>
        </is>
      </c>
      <c r="E360" s="20" t="inlineStr">
        <is>
          <t>C.USE_LLM</t>
        </is>
      </c>
      <c r="F360" s="21" t="n">
        <v>26</v>
      </c>
      <c r="G360" s="11" t="inlineStr"/>
      <c r="H360" s="12" t="inlineStr"/>
    </row>
    <row r="361">
      <c r="A361" s="20" t="inlineStr">
        <is>
          <t>nb12_golden_llm.py</t>
        </is>
      </c>
      <c r="B361" s="21" t="inlineStr">
        <is>
          <t>핵심</t>
        </is>
      </c>
      <c r="C361" s="20" t="inlineStr">
        <is>
          <t>REVIEWED</t>
        </is>
      </c>
      <c r="D361" s="21" t="inlineStr">
        <is>
          <t>설정값</t>
        </is>
      </c>
      <c r="E361" s="20" t="inlineStr">
        <is>
          <t>예: r'C:\work\rag_lab\out\nb12_golden_review_260924_101500.xlsx'</t>
        </is>
      </c>
      <c r="F361" s="21" t="n">
        <v>67</v>
      </c>
      <c r="G361" s="11" t="inlineStr"/>
      <c r="H361" s="12" t="inlineStr"/>
    </row>
    <row r="362">
      <c r="A362" s="20" t="inlineStr">
        <is>
          <t>nb13_langgraph_rag.py</t>
        </is>
      </c>
      <c r="B362" s="21" t="inlineStr">
        <is>
          <t>핵심</t>
        </is>
      </c>
      <c r="C362" s="20" t="inlineStr">
        <is>
          <t>GSRC</t>
        </is>
      </c>
      <c r="D362" s="21" t="inlineStr">
        <is>
          <t>설정값</t>
        </is>
      </c>
      <c r="E362" s="20" t="inlineStr">
        <is>
          <t>_g if os.path.exists(_g) else os.path.join(C.GOLDEN_DIR, 'answer_golde</t>
        </is>
      </c>
      <c r="F362" s="21" t="n">
        <v>55</v>
      </c>
      <c r="G362" s="11" t="inlineStr"/>
      <c r="H362" s="12" t="inlineStr"/>
    </row>
    <row r="363">
      <c r="A363" s="20" t="inlineStr">
        <is>
          <t>nb13_langgraph_rag.py</t>
        </is>
      </c>
      <c r="B363" s="21" t="inlineStr">
        <is>
          <t>핵심</t>
        </is>
      </c>
      <c r="C363" s="20" t="inlineStr">
        <is>
          <t>PRESETS</t>
        </is>
      </c>
      <c r="D363" s="21" t="inlineStr">
        <is>
          <t>설정값</t>
        </is>
      </c>
      <c r="E363" s="20" t="inlineStr">
        <is>
          <t>목록 6 개</t>
        </is>
      </c>
      <c r="F363" s="21" t="n">
        <v>62</v>
      </c>
      <c r="G363" s="11" t="inlineStr"/>
      <c r="H363" s="12" t="inlineStr"/>
    </row>
    <row r="365">
      <c r="A365" s="16" t="inlineStr">
        <is>
          <t>집계</t>
        </is>
      </c>
    </row>
    <row r="366">
      <c r="A366" s="17" t="inlineStr">
        <is>
          <t>전체</t>
        </is>
      </c>
      <c r="B366" s="18">
        <f>COUNTIF(C5:C363,"&lt;&gt;")</f>
        <v>359</v>
      </c>
    </row>
    <row r="367">
      <c r="A367" s="17" t="inlineStr">
        <is>
          <t>확인 완료</t>
        </is>
      </c>
      <c r="B367" s="18">
        <f>COUNTIF(G5:G363,"확인")</f>
        <v>0</v>
      </c>
    </row>
    <row r="368">
      <c r="A368" s="17" t="inlineStr">
        <is>
          <t>진행률</t>
        </is>
      </c>
      <c r="B368" s="19">
        <f>IFERROR(COUNTIF(G5:G363,"확인")/COUNTIF(C5:C363,"&lt;&gt;"),"")</f>
        <v>0.0</v>
      </c>
    </row>
  </sheetData>
  <mergeCells count="2">
    <mergeCell ref="A2:H2"/>
    <mergeCell ref="A1:H1"/>
  </mergeCells>
  <conditionalFormatting sqref="G5:G363">
    <cfRule type="cellIs" priority="1" operator="equal" dxfId="0">
      <formula>"확인"</formula>
    </cfRule>
    <cfRule type="cellIs" priority="2" operator="equal" dxfId="1">
      <formula>"질문 있음"</formula>
    </cfRule>
  </conditionalFormatting>
  <dataValidations count="1">
    <dataValidation sqref="G5:G363" showDropDown="0" showInputMessage="0" showErrorMessage="0" allowBlank="1" type="list">
      <formula1>"확인,보류,질문 있음"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7" customWidth="1" min="2" max="2"/>
    <col width="46" customWidth="1" min="3" max="3"/>
    <col width="6" customWidth="1" min="4" max="4"/>
    <col width="50" customWidth="1" min="5" max="5"/>
    <col width="36" customWidth="1" min="6" max="6"/>
    <col width="44" customWidth="1" min="7" max="7"/>
    <col width="8" customWidth="1" min="8" max="8"/>
    <col width="22" customWidth="1" min="9" max="9"/>
  </cols>
  <sheetData>
    <row r="1">
      <c r="A1" s="6" t="inlineStr">
        <is>
          <t>3. 노트북 셀 목록</t>
        </is>
      </c>
    </row>
    <row r="2">
      <c r="A2" s="2" t="inlineStr">
        <is>
          <t>전체 112 셀 · 위에서 아래로 실행 · H · I 열 기입</t>
        </is>
      </c>
    </row>
    <row r="4">
      <c r="A4" s="3" t="inlineStr">
        <is>
          <t>노트북</t>
        </is>
      </c>
      <c r="B4" s="3" t="inlineStr">
        <is>
          <t>구분</t>
        </is>
      </c>
      <c r="C4" s="3" t="inlineStr">
        <is>
          <t>셀 제목 (Ctrl+Enter 로 하나씩 실행)</t>
        </is>
      </c>
      <c r="D4" s="3" t="inlineStr">
        <is>
          <t>줄</t>
        </is>
      </c>
      <c r="E4" s="3" t="inlineStr">
        <is>
          <t>이 셀이 호출하는 함수</t>
        </is>
      </c>
      <c r="F4" s="3" t="inlineStr">
        <is>
          <t>만들어지는 변수 (Variable Explorer)</t>
        </is>
      </c>
      <c r="G4" s="3" t="inlineStr">
        <is>
          <t>참조 문서</t>
        </is>
      </c>
      <c r="H4" s="3" t="inlineStr">
        <is>
          <t>확인</t>
        </is>
      </c>
      <c r="I4" s="3" t="inlineStr">
        <is>
          <t>메모</t>
        </is>
      </c>
    </row>
    <row r="5">
      <c r="A5" s="24" t="inlineStr">
        <is>
          <t>nb00_pipeline_check.py</t>
        </is>
      </c>
      <c r="B5" s="25" t="inlineStr">
        <is>
          <t>핵심</t>
        </is>
      </c>
      <c r="C5" s="24" t="inlineStr">
        <is>
          <t>[0] 준비 — 가장 먼저 실행</t>
        </is>
      </c>
      <c r="D5" s="25" t="n">
        <v>9</v>
      </c>
      <c r="E5" s="24" t="inlineStr">
        <is>
          <t>pd.Series · C.summary</t>
        </is>
      </c>
      <c r="F5" s="24" t="inlineStr">
        <is>
          <t>LAB</t>
        </is>
      </c>
      <c r="G5" s="24" t="inlineStr">
        <is>
          <t>체크리스트: archive/inside/rag_checklist_rev10.xlsx → [단계별_실행도구] S00 · [P1_적재공통] 전체</t>
        </is>
      </c>
      <c r="H5" s="25" t="inlineStr"/>
      <c r="I5" s="24" t="inlineStr"/>
    </row>
    <row r="6">
      <c r="A6" s="5" t="inlineStr">
        <is>
          <t>nb00_pipeline_check.py</t>
        </is>
      </c>
      <c r="B6" s="10" t="inlineStr">
        <is>
          <t>핵심</t>
        </is>
      </c>
      <c r="C6" s="5" t="inlineStr">
        <is>
          <t>[1] 적재 현황 — 통합 문서 테이블 · 청킹 테이블</t>
        </is>
      </c>
      <c r="D6" s="10" t="n">
        <v>27</v>
      </c>
      <c r="E6" s="5" t="inlineStr">
        <is>
          <t>lab_io.load_raw · lab_io.load_chunks</t>
        </is>
      </c>
      <c r="F6" s="5" t="inlineStr">
        <is>
          <t>raw · chunks</t>
        </is>
      </c>
      <c r="G6" s="5" t="inlineStr"/>
      <c r="H6" s="11" t="inlineStr"/>
      <c r="I6" s="12" t="inlineStr"/>
    </row>
    <row r="7">
      <c r="A7" s="5" t="inlineStr">
        <is>
          <t>nb00_pipeline_check.py</t>
        </is>
      </c>
      <c r="B7" s="10" t="inlineStr">
        <is>
          <t>핵심</t>
        </is>
      </c>
      <c r="C7" s="5" t="inlineStr">
        <is>
          <t>[1b] 소스 유형 정의 확인 — **사내 코드가 전부 매핑됐는가** (가장 먼저 볼 것)</t>
        </is>
      </c>
      <c r="D7" s="10" t="n">
        <v>33</v>
      </c>
      <c r="E7" s="5" t="inlineStr">
        <is>
          <t>lab_sources.unmapped · lab_sources.table</t>
        </is>
      </c>
      <c r="F7" s="5" t="inlineStr">
        <is>
          <t>chk</t>
        </is>
      </c>
      <c r="G7" s="5" t="inlineStr"/>
      <c r="H7" s="11" t="inlineStr"/>
      <c r="I7" s="12" t="inlineStr"/>
    </row>
    <row r="8">
      <c r="A8" s="5" t="inlineStr">
        <is>
          <t>nb00_pipeline_check.py</t>
        </is>
      </c>
      <c r="B8" s="10" t="inlineStr">
        <is>
          <t>핵심</t>
        </is>
      </c>
      <c r="C8" s="5" t="inlineStr">
        <is>
          <t>[2] 소스 유형별 분포 — 수집 편중 · 기간 확인</t>
        </is>
      </c>
      <c r="D8" s="10" t="n">
        <v>46</v>
      </c>
      <c r="E8" s="5" t="inlineStr">
        <is>
          <t>lab_pipeline.type_distribution</t>
        </is>
      </c>
      <c r="F8" s="5" t="inlineStr">
        <is>
          <t>dist</t>
        </is>
      </c>
      <c r="G8" s="5" t="inlineStr"/>
      <c r="H8" s="11" t="inlineStr"/>
      <c r="I8" s="12" t="inlineStr"/>
    </row>
    <row r="9">
      <c r="A9" s="5" t="inlineStr">
        <is>
          <t>nb00_pipeline_check.py</t>
        </is>
      </c>
      <c r="B9" s="10" t="inlineStr">
        <is>
          <t>핵심</t>
        </is>
      </c>
      <c r="C9" s="5" t="inlineStr">
        <is>
          <t>[3] 1단계 점검 · 통합 문서 테이블 무결성</t>
        </is>
      </c>
      <c r="D9" s="10" t="n">
        <v>50</v>
      </c>
      <c r="E9" s="5" t="inlineStr">
        <is>
          <t>lab_pipeline.doc_integrity</t>
        </is>
      </c>
      <c r="F9" s="5" t="inlineStr">
        <is>
          <t>doc_chk</t>
        </is>
      </c>
      <c r="G9" s="5" t="inlineStr"/>
      <c r="H9" s="11" t="inlineStr"/>
      <c r="I9" s="12" t="inlineStr"/>
    </row>
    <row r="10">
      <c r="A10" s="5" t="inlineStr">
        <is>
          <t>nb00_pipeline_check.py</t>
        </is>
      </c>
      <c r="B10" s="10" t="inlineStr">
        <is>
          <t>핵심</t>
        </is>
      </c>
      <c r="C10" s="5" t="inlineStr">
        <is>
          <t>[4] 2단계 점검 · 소스 유형별 필수 메타 충족률</t>
        </is>
      </c>
      <c r="D10" s="10" t="n">
        <v>54</v>
      </c>
      <c r="E10" s="5" t="inlineStr">
        <is>
          <t>lab_pipeline.meta_completeness</t>
        </is>
      </c>
      <c r="F10" s="5" t="inlineStr">
        <is>
          <t>meta_chk</t>
        </is>
      </c>
      <c r="G10" s="5" t="inlineStr"/>
      <c r="H10" s="11" t="inlineStr"/>
      <c r="I10" s="12" t="inlineStr"/>
    </row>
    <row r="11">
      <c r="A11" s="5" t="inlineStr">
        <is>
          <t>nb00_pipeline_check.py</t>
        </is>
      </c>
      <c r="B11" s="10" t="inlineStr">
        <is>
          <t>핵심</t>
        </is>
      </c>
      <c r="C11" s="5" t="inlineStr">
        <is>
          <t>[5] 3단계 점검 · 청킹 테이블 연결 무결성</t>
        </is>
      </c>
      <c r="D11" s="10" t="n">
        <v>60</v>
      </c>
      <c r="E11" s="5" t="inlineStr">
        <is>
          <t>lab_pipeline.chunk_integrity</t>
        </is>
      </c>
      <c r="F11" s="5" t="inlineStr">
        <is>
          <t>chunk_chk</t>
        </is>
      </c>
      <c r="G11" s="5" t="inlineStr"/>
      <c r="H11" s="11" t="inlineStr"/>
      <c r="I11" s="12" t="inlineStr"/>
    </row>
    <row r="12">
      <c r="A12" s="5" t="inlineStr">
        <is>
          <t>nb00_pipeline_check.py</t>
        </is>
      </c>
      <c r="B12" s="10" t="inlineStr">
        <is>
          <t>핵심</t>
        </is>
      </c>
      <c r="C12" s="5" t="inlineStr">
        <is>
          <t>[6] 청크 길이 분포 — 임베딩 최대 길이(EMBED_MAX_LENGTH) 초과 여부</t>
        </is>
      </c>
      <c r="D12" s="10" t="n">
        <v>64</v>
      </c>
      <c r="E12" s="5" t="inlineStr">
        <is>
          <t>lab_pipeline.chunk_size_profile</t>
        </is>
      </c>
      <c r="F12" s="5" t="inlineStr">
        <is>
          <t>size</t>
        </is>
      </c>
      <c r="G12" s="5" t="inlineStr"/>
      <c r="H12" s="11" t="inlineStr"/>
      <c r="I12" s="12" t="inlineStr"/>
    </row>
    <row r="13">
      <c r="A13" s="5" t="inlineStr">
        <is>
          <t>nb00_pipeline_check.py</t>
        </is>
      </c>
      <c r="B13" s="10" t="inlineStr">
        <is>
          <t>핵심</t>
        </is>
      </c>
      <c r="C13" s="5" t="inlineStr">
        <is>
          <t>[7] 4단계 점검 · 임베딩 · Milvus 인덱싱 정합성 (live 전용)</t>
        </is>
      </c>
      <c r="D13" s="10" t="n">
        <v>69</v>
      </c>
      <c r="E13" s="5" t="inlineStr">
        <is>
          <t>lab_pipeline.index_integrity</t>
        </is>
      </c>
      <c r="F13" s="5" t="inlineStr">
        <is>
          <t>idx_chk</t>
        </is>
      </c>
      <c r="G13" s="5" t="inlineStr"/>
      <c r="H13" s="11" t="inlineStr"/>
      <c r="I13" s="12" t="inlineStr"/>
    </row>
    <row r="14">
      <c r="A14" s="5" t="inlineStr">
        <is>
          <t>nb00_pipeline_check.py</t>
        </is>
      </c>
      <c r="B14" s="10" t="inlineStr">
        <is>
          <t>핵심</t>
        </is>
      </c>
      <c r="C14" s="5" t="inlineStr">
        <is>
          <t>[8] 종합 — 단계별 판정 · 미달 과제</t>
        </is>
      </c>
      <c r="D14" s="10" t="n">
        <v>73</v>
      </c>
      <c r="E14" s="5" t="inlineStr">
        <is>
          <t>lab_pipeline.pipeline_report · lab_pipeline.failed_only</t>
        </is>
      </c>
      <c r="F14" s="5" t="inlineStr">
        <is>
          <t>rep · fail</t>
        </is>
      </c>
      <c r="G14" s="5" t="inlineStr"/>
      <c r="H14" s="11" t="inlineStr"/>
      <c r="I14" s="12" t="inlineStr"/>
    </row>
    <row r="15">
      <c r="A15" s="5" t="inlineStr">
        <is>
          <t>nb00_pipeline_check.py</t>
        </is>
      </c>
      <c r="B15" s="10" t="inlineStr">
        <is>
          <t>핵심</t>
        </is>
      </c>
      <c r="C15" s="5" t="inlineStr">
        <is>
          <t>[9] 저장 — 이력 엑셀 `3_파이프라인_점검` 에 붙여넣기</t>
        </is>
      </c>
      <c r="D15" s="10" t="n">
        <v>80</v>
      </c>
      <c r="E15" s="5" t="inlineStr">
        <is>
          <t>lab_io.save</t>
        </is>
      </c>
      <c r="F15" s="5" t="inlineStr"/>
      <c r="G15" s="5" t="inlineStr"/>
      <c r="H15" s="11" t="inlineStr"/>
      <c r="I15" s="12" t="inlineStr"/>
    </row>
    <row r="16">
      <c r="A16" s="15" t="inlineStr">
        <is>
          <t>nb01_inventory.py</t>
        </is>
      </c>
      <c r="B16" s="14" t="inlineStr">
        <is>
          <t>선택</t>
        </is>
      </c>
      <c r="C16" s="15" t="inlineStr">
        <is>
          <t>[0] 준비 — 가장 먼저 실행</t>
        </is>
      </c>
      <c r="D16" s="14" t="n">
        <v>8</v>
      </c>
      <c r="E16" s="15" t="inlineStr">
        <is>
          <t>pd.Series · C.summary</t>
        </is>
      </c>
      <c r="F16" s="15" t="inlineStr">
        <is>
          <t>cfg · LAB</t>
        </is>
      </c>
      <c r="G16" s="15" t="inlineStr">
        <is>
          <t>체크리스트: archive/inside/rag_checklist_rev10.xlsx → [P1_적재공통] S01 수집 · S05 메타데이터</t>
        </is>
      </c>
      <c r="H16" s="14" t="inlineStr"/>
      <c r="I16" s="15" t="inlineStr"/>
    </row>
    <row r="17">
      <c r="A17" s="5" t="inlineStr">
        <is>
          <t>nb01_inventory.py</t>
        </is>
      </c>
      <c r="B17" s="10" t="inlineStr">
        <is>
          <t>선택</t>
        </is>
      </c>
      <c r="C17" s="5" t="inlineStr">
        <is>
          <t>[1] 소스 유형별 문서 수 · 청크 수 · 작성일 누락 (전체 테이블 집계)</t>
        </is>
      </c>
      <c r="D17" s="10" t="n">
        <v>27</v>
      </c>
      <c r="E17" s="5" t="inlineStr">
        <is>
          <t>lab_io.count_by_type · lab_io.count_chunks_by_type · docs_by_type.merge · map</t>
        </is>
      </c>
      <c r="F17" s="5" t="inlineStr">
        <is>
          <t>docs_by_type · chunks_by_type · inv</t>
        </is>
      </c>
      <c r="G17" s="5" t="inlineStr"/>
      <c r="H17" s="11" t="inlineStr"/>
      <c r="I17" s="12" t="inlineStr"/>
    </row>
    <row r="18">
      <c r="A18" s="5" t="inlineStr">
        <is>
          <t>nb01_inventory.py</t>
        </is>
      </c>
      <c r="B18" s="10" t="inlineStr">
        <is>
          <t>선택</t>
        </is>
      </c>
      <c r="C18" s="5" t="inlineStr">
        <is>
          <t>[2] 표본 원문 로드 — 유형별 N건 (이후 셀은 이 표본으로 점검)</t>
        </is>
      </c>
      <c r="D18" s="10" t="n">
        <v>38</v>
      </c>
      <c r="E18" s="5" t="inlineStr">
        <is>
          <t>lab_io.sample_per_type · raw_s.doc_type.nunique</t>
        </is>
      </c>
      <c r="F18" s="5" t="inlineStr">
        <is>
          <t>N_PER_TYPE · raw_s</t>
        </is>
      </c>
      <c r="G18" s="5" t="inlineStr"/>
      <c r="H18" s="11" t="inlineStr"/>
      <c r="I18" s="12" t="inlineStr"/>
    </row>
    <row r="19">
      <c r="A19" s="5" t="inlineStr">
        <is>
          <t>nb01_inventory.py</t>
        </is>
      </c>
      <c r="B19" s="10" t="inlineStr">
        <is>
          <t>선택</t>
        </is>
      </c>
      <c r="C19" s="5" t="inlineStr">
        <is>
          <t>[3] 메타데이터 채움률 (S05-1) — 유형별로 값이 들어 있는 비율 %</t>
        </is>
      </c>
      <c r="D19" s="10" t="n">
        <v>43</v>
      </c>
      <c r="E19" s="5" t="inlineStr">
        <is>
          <t>meta_fill.insert · meta_fill.index.map · apply · raw_s.groupby · mean · g.notna</t>
        </is>
      </c>
      <c r="F19" s="5" t="inlineStr">
        <is>
          <t>META_COLS · meta_fill</t>
        </is>
      </c>
      <c r="G19" s="5" t="inlineStr"/>
      <c r="H19" s="11" t="inlineStr"/>
      <c r="I19" s="12" t="inlineStr"/>
    </row>
    <row r="20">
      <c r="A20" s="5" t="inlineStr">
        <is>
          <t>nb01_inventory.py</t>
        </is>
      </c>
      <c r="B20" s="10" t="inlineStr">
        <is>
          <t>선택</t>
        </is>
      </c>
      <c r="C20" s="5" t="inlineStr">
        <is>
          <t>[4] 원문 저장 형태 선확인 — 텍스트만인가, 구조가 남아 있나</t>
        </is>
      </c>
      <c r="D20" s="10" t="n">
        <v>49</v>
      </c>
      <c r="E20" s="5" t="inlineStr">
        <is>
          <t>apply · store_check.insert · pd.Series · store_check.index.map · raw_s.groupby · median</t>
        </is>
      </c>
      <c r="F20" s="5" t="inlineStr">
        <is>
          <t>store_check · b</t>
        </is>
      </c>
      <c r="G20" s="5" t="inlineStr"/>
      <c r="H20" s="11" t="inlineStr"/>
      <c r="I20" s="12" t="inlineStr"/>
    </row>
    <row r="21">
      <c r="A21" s="5" t="inlineStr">
        <is>
          <t>nb01_inventory.py</t>
        </is>
      </c>
      <c r="B21" s="10" t="inlineStr">
        <is>
          <t>선택</t>
        </is>
      </c>
      <c r="C21" s="5" t="inlineStr">
        <is>
          <t>[5] 중복 — 완전 중복(본문 해시) · 근사 중복(MinHash, 재송고 · 인용)</t>
        </is>
      </c>
      <c r="D21" s="10" t="n">
        <v>66</v>
      </c>
      <c r="E21" s="5" t="inlineStr">
        <is>
          <t>map · lab_text.near_duplicates · lab_text.clean · raw_s.set_index · dup_near.id_a.map · dup_near.id_b.map</t>
        </is>
      </c>
      <c r="F21" s="5" t="inlineStr">
        <is>
          <t>dup_exact · dup_near · t</t>
        </is>
      </c>
      <c r="G21" s="5" t="inlineStr"/>
      <c r="H21" s="11" t="inlineStr"/>
      <c r="I21" s="12" t="inlineStr"/>
    </row>
    <row r="22">
      <c r="A22" s="5" t="inlineStr">
        <is>
          <t>nb01_inventory.py</t>
        </is>
      </c>
      <c r="B22" s="10" t="inlineStr">
        <is>
          <t>선택</t>
        </is>
      </c>
      <c r="C22" s="5" t="inlineStr">
        <is>
          <t>[6] 저장 + 체크리스트에 옮겨 적을 요약</t>
        </is>
      </c>
      <c r="D22" s="10" t="n">
        <v>79</v>
      </c>
      <c r="E22" s="5" t="inlineStr">
        <is>
          <t>inv.iterrows · lab_io.save · meta_fill.reset_index · store_check.reset_index · pd.notna</t>
        </is>
      </c>
      <c r="F22" s="5" t="inlineStr"/>
      <c r="G22" s="5" t="inlineStr"/>
      <c r="H22" s="11" t="inlineStr"/>
      <c r="I22" s="12" t="inlineStr"/>
    </row>
    <row r="23">
      <c r="A23" s="24" t="inlineStr">
        <is>
          <t>nb02_parse_chunk.py</t>
        </is>
      </c>
      <c r="B23" s="25" t="inlineStr">
        <is>
          <t>핵심</t>
        </is>
      </c>
      <c r="C23" s="24" t="inlineStr">
        <is>
          <t>[0] 준비 — 가장 먼저 실행</t>
        </is>
      </c>
      <c r="D23" s="25" t="n">
        <v>7</v>
      </c>
      <c r="E23" s="24" t="inlineStr">
        <is>
          <t>lab_text.tokenizer</t>
        </is>
      </c>
      <c r="F23" s="24" t="inlineStr">
        <is>
          <t>LAB</t>
        </is>
      </c>
      <c r="G23" s="24" t="inlineStr">
        <is>
          <t>체크리스트: archive/inside/rag_checklist_rev10.xlsx → [P1_적재공통] S02 파싱 · S03 청킹 · S04 임베딩</t>
        </is>
      </c>
      <c r="H23" s="25" t="inlineStr"/>
      <c r="I23" s="24" t="inlineStr"/>
    </row>
    <row r="24">
      <c r="A24" s="5" t="inlineStr">
        <is>
          <t>nb02_parse_chunk.py</t>
        </is>
      </c>
      <c r="B24" s="10" t="inlineStr">
        <is>
          <t>핵심</t>
        </is>
      </c>
      <c r="C24" s="5" t="inlineStr">
        <is>
          <t>[1] 표본 원문 + 그 문서들의 청크</t>
        </is>
      </c>
      <c r="D24" s="10" t="n">
        <v>25</v>
      </c>
      <c r="E24" s="5" t="inlineStr">
        <is>
          <t>lab_io.sample_per_type · lab_io.load_chunks · ch.merge · tolist</t>
        </is>
      </c>
      <c r="F24" s="5" t="inlineStr">
        <is>
          <t>N_PER_TYPE · raw_s · ch</t>
        </is>
      </c>
      <c r="G24" s="5" t="inlineStr"/>
      <c r="H24" s="11" t="inlineStr"/>
      <c r="I24" s="12" t="inlineStr"/>
    </row>
    <row r="25">
      <c r="A25" s="5" t="inlineStr">
        <is>
          <t>nb02_parse_chunk.py</t>
        </is>
      </c>
      <c r="B25" s="10" t="inlineStr">
        <is>
          <t>핵심</t>
        </is>
      </c>
      <c r="C25" s="5" t="inlineStr">
        <is>
          <t>[2] 청크 길이 분포 (S03-1) · max_length 초과 = 임베딩 때 뒷부분이 잘리는 청크 (S04-1)</t>
        </is>
      </c>
      <c r="D25" s="10" t="n">
        <v>32</v>
      </c>
      <c r="E25" s="5" t="inlineStr">
        <is>
          <t>str.len · map · agg · chunk_stats.insert · chunk_stats.index.map · ch.groupby</t>
        </is>
      </c>
      <c r="F25" s="5" t="inlineStr">
        <is>
          <t>chunk_stats</t>
        </is>
      </c>
      <c r="G25" s="5" t="inlineStr"/>
      <c r="H25" s="11" t="inlineStr"/>
      <c r="I25" s="12" t="inlineStr"/>
    </row>
    <row r="26">
      <c r="A26" s="5" t="inlineStr">
        <is>
          <t>nb02_parse_chunk.py</t>
        </is>
      </c>
      <c r="B26" s="10" t="inlineStr">
        <is>
          <t>핵심</t>
        </is>
      </c>
      <c r="C26" s="5" t="inlineStr">
        <is>
          <t>[3] 청크 품질 (S03-2 · S03-3) — 문장 잘림 · 표 깨짐 의심 · 노이즈 잔존 · 헤더 포함, 유형별 %</t>
        </is>
      </c>
      <c r="D26" s="10" t="n">
        <v>41</v>
      </c>
      <c r="E26" s="5" t="inlineStr">
        <is>
          <t>map · chunk_quality.insert · lab_text.noise_left · lab_text.has_header · chunk_quality.index.map · mean</t>
        </is>
      </c>
      <c r="F26" s="5" t="inlineStr">
        <is>
          <t>chunk_quality</t>
        </is>
      </c>
      <c r="G26" s="5" t="inlineStr"/>
      <c r="H26" s="11" t="inlineStr"/>
      <c r="I26" s="12" t="inlineStr"/>
    </row>
    <row r="27">
      <c r="A27" s="5" t="inlineStr">
        <is>
          <t>nb02_parse_chunk.py</t>
        </is>
      </c>
      <c r="B27" s="10" t="inlineStr">
        <is>
          <t>핵심</t>
        </is>
      </c>
      <c r="C27" s="5" t="inlineStr">
        <is>
          <t>[4] 소스별 정제 전후 (처리 흐름의 '제거' 단계) — 얼마나 걷어내나</t>
        </is>
      </c>
      <c r="D27" s="10" t="n">
        <v>51</v>
      </c>
      <c r="E27" s="5" t="inlineStr">
        <is>
          <t>agg · clean_cmp.insert · lab_text.clean · lab_text.noise_left · clean_cmp.index.map · raw_s.groupby</t>
        </is>
      </c>
      <c r="F27" s="5" t="inlineStr">
        <is>
          <t>clean_cmp</t>
        </is>
      </c>
      <c r="G27" s="5" t="inlineStr"/>
      <c r="H27" s="11" t="inlineStr"/>
      <c r="I27" s="12" t="inlineStr"/>
    </row>
    <row r="28">
      <c r="A28" s="5" t="inlineStr">
        <is>
          <t>nb02_parse_chunk.py</t>
        </is>
      </c>
      <c r="B28" s="10" t="inlineStr">
        <is>
          <t>핵심</t>
        </is>
      </c>
      <c r="C28" s="5" t="inlineStr">
        <is>
          <t>[5] 문서 하나 들여다보기 — DOC_ID 만 바꿔서 반복 실행</t>
        </is>
      </c>
      <c r="D28" s="10" t="n">
        <v>62</v>
      </c>
      <c r="E28" s="5" t="inlineStr">
        <is>
          <t>doc_view.itertuples · any · raw_s.set_index</t>
        </is>
      </c>
      <c r="F28" s="5" t="inlineStr">
        <is>
          <t>DOC_ID · doc_view</t>
        </is>
      </c>
      <c r="G28" s="5" t="inlineStr"/>
      <c r="H28" s="11" t="inlineStr"/>
      <c r="I28" s="12" t="inlineStr"/>
    </row>
    <row r="29">
      <c r="A29" s="5" t="inlineStr">
        <is>
          <t>nb02_parse_chunk.py</t>
        </is>
      </c>
      <c r="B29" s="10" t="inlineStr">
        <is>
          <t>핵심</t>
        </is>
      </c>
      <c r="C29" s="5" t="inlineStr">
        <is>
          <t>[6] 헤더 미리보기 (S03-3) — 청크 앞에 붙일 [유형 | 날짜 | 기관 | 제목]</t>
        </is>
      </c>
      <c r="D29" s="10" t="n">
        <v>70</v>
      </c>
      <c r="E29" s="5" t="inlineStr">
        <is>
          <t>lab_text.build_header · raw_s.to_dict</t>
        </is>
      </c>
      <c r="F29" s="5" t="inlineStr">
        <is>
          <t>header_preview</t>
        </is>
      </c>
      <c r="G29" s="5" t="inlineStr"/>
      <c r="H29" s="11" t="inlineStr"/>
      <c r="I29" s="12" t="inlineStr"/>
    </row>
    <row r="30">
      <c r="A30" s="5" t="inlineStr">
        <is>
          <t>nb02_parse_chunk.py</t>
        </is>
      </c>
      <c r="B30" s="10" t="inlineStr">
        <is>
          <t>핵심</t>
        </is>
      </c>
      <c r="C30" s="5" t="inlineStr">
        <is>
          <t>[7] 저장</t>
        </is>
      </c>
      <c r="D30" s="10" t="n">
        <v>75</v>
      </c>
      <c r="E30" s="5" t="inlineStr">
        <is>
          <t>lab_io.save · chunk_stats.reset_index · chunk_quality.reset_index · clean_cmp.reset_index</t>
        </is>
      </c>
      <c r="F30" s="5" t="inlineStr"/>
      <c r="G30" s="5" t="inlineStr"/>
      <c r="H30" s="11" t="inlineStr"/>
      <c r="I30" s="12" t="inlineStr"/>
    </row>
    <row r="31">
      <c r="A31" s="5" t="inlineStr">
        <is>
          <t>nb02_parse_chunk.py</t>
        </is>
      </c>
      <c r="B31" s="10" t="inlineStr">
        <is>
          <t>핵심</t>
        </is>
      </c>
      <c r="C31" s="5" t="inlineStr">
        <is>
          <t>[+] 유형별 청킹 기준 대비 — lab_sources.SOURCES[코드]['chunk'] 를 바꾸면 여기 값이 바뀐다</t>
        </is>
      </c>
      <c r="D31" s="10" t="n">
        <v>80</v>
      </c>
      <c r="E31" s="5" t="inlineStr">
        <is>
          <t>raw_s.groupby · pd.DataFrame · lab_sources.chunk_opts · str.len · rows.append · lab_text.chunk_text</t>
        </is>
      </c>
      <c r="F31" s="5" t="inlineStr">
        <is>
          <t>rows · rechunk · now · re_ch</t>
        </is>
      </c>
      <c r="G31" s="5" t="inlineStr"/>
      <c r="H31" s="11" t="inlineStr"/>
      <c r="I31" s="12" t="inlineStr"/>
    </row>
    <row r="32">
      <c r="A32" s="15" t="inlineStr">
        <is>
          <t>nb03_bm25_tokenizer.py</t>
        </is>
      </c>
      <c r="B32" s="14" t="inlineStr">
        <is>
          <t>선택</t>
        </is>
      </c>
      <c r="C32" s="15" t="inlineStr">
        <is>
          <t>[0] 준비 — 가장 먼저 실행</t>
        </is>
      </c>
      <c r="D32" s="14" t="n">
        <v>8</v>
      </c>
      <c r="E32" s="15" t="inlineStr"/>
      <c r="F32" s="15" t="inlineStr">
        <is>
          <t>S · LAB</t>
        </is>
      </c>
      <c r="G32" s="15" t="inlineStr">
        <is>
          <t>체크리스트: archive/inside/rag_checklist_rev10.xlsx → [P1_검색] S09 BM25</t>
        </is>
      </c>
      <c r="H32" s="14" t="inlineStr"/>
      <c r="I32" s="15" t="inlineStr"/>
    </row>
    <row r="33">
      <c r="A33" s="5" t="inlineStr">
        <is>
          <t>nb03_bm25_tokenizer.py</t>
        </is>
      </c>
      <c r="B33" s="10" t="inlineStr">
        <is>
          <t>선택</t>
        </is>
      </c>
      <c r="C33" s="5" t="inlineStr">
        <is>
          <t>[1] 토크나이저 비교 — 같은 단어가 같은 토큰이 되는가</t>
        </is>
      </c>
      <c r="D33" s="10" t="n">
        <v>26</v>
      </c>
      <c r="E33" s="5" t="inlineStr">
        <is>
          <t>pd.DataFrame · S.get_tokenizer</t>
        </is>
      </c>
      <c r="F33" s="5" t="inlineStr">
        <is>
          <t>SENTENCES · TOKENIZERS · tok_cmp</t>
        </is>
      </c>
      <c r="G33" s="5" t="inlineStr"/>
      <c r="H33" s="11" t="inlineStr"/>
      <c r="I33" s="12" t="inlineStr"/>
    </row>
    <row r="34">
      <c r="A34" s="5" t="inlineStr">
        <is>
          <t>nb03_bm25_tokenizer.py</t>
        </is>
      </c>
      <c r="B34" s="10" t="inlineStr">
        <is>
          <t>선택</t>
        </is>
      </c>
      <c r="C34" s="5" t="inlineStr">
        <is>
          <t>[2] 코퍼스 + 골든셋 — live 에서는 청크 표본으로 (전체 BM25 는 기존 시스템에서)</t>
        </is>
      </c>
      <c r="D34" s="10" t="n">
        <v>34</v>
      </c>
      <c r="E34" s="5" t="inlineStr">
        <is>
          <t>lab_io.load_golden · golden.fillna · dropna · lab_io.load_chunks</t>
        </is>
      </c>
      <c r="F34" s="5" t="inlineStr">
        <is>
          <t>CORPUS_N · corpus · golden</t>
        </is>
      </c>
      <c r="G34" s="5" t="inlineStr"/>
      <c r="H34" s="11" t="inlineStr"/>
      <c r="I34" s="12" t="inlineStr"/>
    </row>
    <row r="35">
      <c r="A35" s="5" t="inlineStr">
        <is>
          <t>nb03_bm25_tokenizer.py</t>
        </is>
      </c>
      <c r="B35" s="10" t="inlineStr">
        <is>
          <t>선택</t>
        </is>
      </c>
      <c r="C35" s="5" t="inlineStr">
        <is>
          <t>[2-1] (live) 골든셋 정답 문서의 청크를 코퍼스에 합치기</t>
        </is>
      </c>
      <c r="D35" s="10" t="n">
        <v>43</v>
      </c>
      <c r="E35" s="5" t="inlineStr">
        <is>
          <t>drop_duplicates · pd.concat · lab_io.load_chunks</t>
        </is>
      </c>
      <c r="F35" s="5" t="inlineStr">
        <is>
          <t>corpus</t>
        </is>
      </c>
      <c r="G35" s="5" t="inlineStr"/>
      <c r="H35" s="11" t="inlineStr"/>
      <c r="I35" s="12" t="inlineStr"/>
    </row>
    <row r="36">
      <c r="A36" s="5" t="inlineStr">
        <is>
          <t>nb03_bm25_tokenizer.py</t>
        </is>
      </c>
      <c r="B36" s="10" t="inlineStr">
        <is>
          <t>선택</t>
        </is>
      </c>
      <c r="C36" s="5" t="inlineStr">
        <is>
          <t>[3] 토크나이저별 BM25 적중률 — Hit@1 · Hit@5 · MRR</t>
        </is>
      </c>
      <c r="D36" s="10" t="n">
        <v>49</v>
      </c>
      <c r="E36" s="5" t="inlineStr">
        <is>
          <t>bm25_models.items · pd.DataFrame · fit · itertuples · tolist · S.Retriever._rank</t>
        </is>
      </c>
      <c r="F36" s="5" t="inlineStr">
        <is>
          <t>bm25_models · rows · bm25_detail · bm25_cmp · res · rel</t>
        </is>
      </c>
      <c r="G36" s="5" t="inlineStr"/>
      <c r="H36" s="11" t="inlineStr"/>
      <c r="I36" s="12" t="inlineStr"/>
    </row>
    <row r="37">
      <c r="A37" s="5" t="inlineStr">
        <is>
          <t>nb03_bm25_tokenizer.py</t>
        </is>
      </c>
      <c r="B37" s="10" t="inlineStr">
        <is>
          <t>선택</t>
        </is>
      </c>
      <c r="C37" s="5" t="inlineStr">
        <is>
          <t>[4] 질의 하나 드릴다운 — QUERY 만 바꿔서 반복</t>
        </is>
      </c>
      <c r="D37" s="10" t="n">
        <v>62</v>
      </c>
      <c r="E37" s="5" t="inlineStr">
        <is>
          <t>pd.concat · bm25_models.items · bm.search</t>
        </is>
      </c>
      <c r="F37" s="5" t="inlineStr">
        <is>
          <t>QUERY · drill</t>
        </is>
      </c>
      <c r="G37" s="5" t="inlineStr"/>
      <c r="H37" s="11" t="inlineStr"/>
      <c r="I37" s="12" t="inlineStr"/>
    </row>
    <row r="38">
      <c r="A38" s="5" t="inlineStr">
        <is>
          <t>nb03_bm25_tokenizer.py</t>
        </is>
      </c>
      <c r="B38" s="10" t="inlineStr">
        <is>
          <t>선택</t>
        </is>
      </c>
      <c r="C38" s="5" t="inlineStr">
        <is>
          <t>[5] 저장</t>
        </is>
      </c>
      <c r="D38" s="10" t="n">
        <v>68</v>
      </c>
      <c r="E38" s="5" t="inlineStr">
        <is>
          <t>lab_io.save · rename · bm25_cmp.reset_index · tok_cmp.reset_index</t>
        </is>
      </c>
      <c r="F38" s="5" t="inlineStr"/>
      <c r="G38" s="5" t="inlineStr"/>
      <c r="H38" s="11" t="inlineStr"/>
      <c r="I38" s="12" t="inlineStr"/>
    </row>
    <row r="39">
      <c r="A39" s="15" t="inlineStr">
        <is>
          <t>nb04_milvus.py</t>
        </is>
      </c>
      <c r="B39" s="14" t="inlineStr">
        <is>
          <t>선택</t>
        </is>
      </c>
      <c r="C39" s="15" t="inlineStr">
        <is>
          <t>[0] 준비 — 가장 먼저 실행</t>
        </is>
      </c>
      <c r="D39" s="14" t="n">
        <v>8</v>
      </c>
      <c r="E39" s="15" t="inlineStr"/>
      <c r="F39" s="15" t="inlineStr">
        <is>
          <t>LIVE · LAB</t>
        </is>
      </c>
      <c r="G39" s="15" t="inlineStr">
        <is>
          <t>체크리스트: archive/inside/rag_checklist_rev10.xlsx → [P1_적재공통] S06 벡터DB · [P1_검색] S10 시맨틱 검색</t>
        </is>
      </c>
      <c r="H39" s="14" t="inlineStr"/>
      <c r="I39" s="15" t="inlineStr"/>
    </row>
    <row r="40">
      <c r="A40" s="5" t="inlineStr">
        <is>
          <t>nb04_milvus.py</t>
        </is>
      </c>
      <c r="B40" s="10" t="inlineStr">
        <is>
          <t>선택</t>
        </is>
      </c>
      <c r="C40" s="5" t="inlineStr">
        <is>
          <t>[1] 서버 버전 · 스키마 · 인덱스 · 건수 (S06-1 · S06-4)</t>
        </is>
      </c>
      <c r="D40" s="10" t="n">
        <v>27</v>
      </c>
      <c r="E40" s="5" t="inlineStr">
        <is>
          <t>lab_search.MilvusSearcher · mv.describe · pd.DataFrame · getattr · connections.connect · utility.get_server_version</t>
        </is>
      </c>
      <c r="F40" s="5" t="inlineStr">
        <is>
          <t>mv · server_version · mv_fields · mv_indexes · mv_count</t>
        </is>
      </c>
      <c r="G40" s="5" t="inlineStr"/>
      <c r="H40" s="11" t="inlineStr"/>
      <c r="I40" s="12" t="inlineStr"/>
    </row>
    <row r="41">
      <c r="A41" s="5" t="inlineStr">
        <is>
          <t>nb04_milvus.py</t>
        </is>
      </c>
      <c r="B41" s="10" t="inlineStr">
        <is>
          <t>선택</t>
        </is>
      </c>
      <c r="C41" s="5" t="inlineStr">
        <is>
          <t>[2] 필요한 필드가 있는가 (S06-2 필터 필드 · S06-3 본문 사본 · S04-2 sparse)</t>
        </is>
      </c>
      <c r="D41" s="10" t="n">
        <v>49</v>
      </c>
      <c r="E41" s="5" t="inlineStr">
        <is>
          <t>pd.DataFrame · str.upper · NEED.items · any · k.split</t>
        </is>
      </c>
      <c r="F41" s="5" t="inlineStr">
        <is>
          <t>NEED · field_check</t>
        </is>
      </c>
      <c r="G41" s="5" t="inlineStr"/>
      <c r="H41" s="11" t="inlineStr"/>
      <c r="I41" s="12" t="inlineStr"/>
    </row>
    <row r="42">
      <c r="A42" s="5" t="inlineStr">
        <is>
          <t>nb04_milvus.py</t>
        </is>
      </c>
      <c r="B42" s="10" t="inlineStr">
        <is>
          <t>선택</t>
        </is>
      </c>
      <c r="C42" s="5" t="inlineStr">
        <is>
          <t>[3] Oracle 청크 수 vs Milvus 엔티티 수 (S06-5 동기화)</t>
        </is>
      </c>
      <c r="D42" s="10" t="n">
        <v>57</v>
      </c>
      <c r="E42" s="5" t="inlineStr">
        <is>
          <t>pd.DataFrame · lab_io.load_chunks · lab_io.read_sql</t>
        </is>
      </c>
      <c r="F42" s="5" t="inlineStr">
        <is>
          <t>sync_check · oracle_chunks</t>
        </is>
      </c>
      <c r="G42" s="5" t="inlineStr"/>
      <c r="H42" s="11" t="inlineStr"/>
      <c r="I42" s="12" t="inlineStr"/>
    </row>
    <row r="43">
      <c r="A43" s="5" t="inlineStr">
        <is>
          <t>nb04_milvus.py</t>
        </is>
      </c>
      <c r="B43" s="10" t="inlineStr">
        <is>
          <t>선택</t>
        </is>
      </c>
      <c r="C43" s="5" t="inlineStr">
        <is>
          <t>[4] 테스트 검색 — 필터 없이 / 필터 걸고 (S10-2: 필터가 검색과 동시에 적용되는가)</t>
        </is>
      </c>
      <c r="D43" s="10" t="n">
        <v>66</v>
      </c>
      <c r="E43" s="5" t="inlineStr">
        <is>
          <t>lab_search.Embedder · mv.dense · lab_search.Retriever · ret.dense · pd.DataFrame · lab_io.load_chunks</t>
        </is>
      </c>
      <c r="F43" s="5" t="inlineStr">
        <is>
          <t>QUERY · FILTER · emb · v · mv_test · mv_test_filtered</t>
        </is>
      </c>
      <c r="G43" s="5" t="inlineStr"/>
      <c r="H43" s="11" t="inlineStr"/>
      <c r="I43" s="12" t="inlineStr"/>
    </row>
    <row r="44">
      <c r="A44" s="5" t="inlineStr">
        <is>
          <t>nb04_milvus.py</t>
        </is>
      </c>
      <c r="B44" s="10" t="inlineStr">
        <is>
          <t>선택</t>
        </is>
      </c>
      <c r="C44" s="5" t="inlineStr">
        <is>
          <t>[5] 저장</t>
        </is>
      </c>
      <c r="D44" s="10" t="n">
        <v>81</v>
      </c>
      <c r="E44" s="5" t="inlineStr">
        <is>
          <t>lab_io.save</t>
        </is>
      </c>
      <c r="F44" s="5" t="inlineStr"/>
      <c r="G44" s="5" t="inlineStr"/>
      <c r="H44" s="11" t="inlineStr"/>
      <c r="I44" s="12" t="inlineStr"/>
    </row>
    <row r="45">
      <c r="A45" s="15" t="inlineStr">
        <is>
          <t>nb05_smoke_test.py</t>
        </is>
      </c>
      <c r="B45" s="14" t="inlineStr">
        <is>
          <t>선택</t>
        </is>
      </c>
      <c r="C45" s="15" t="inlineStr">
        <is>
          <t>[0] 준비 — 가장 먼저 실행</t>
        </is>
      </c>
      <c r="D45" s="14" t="n">
        <v>10</v>
      </c>
      <c r="E45" s="15" t="inlineStr"/>
      <c r="F45" s="15" t="inlineStr">
        <is>
          <t>LAB</t>
        </is>
      </c>
      <c r="G45" s="15" t="inlineStr">
        <is>
          <t>체크리스트: archive/inside/rag_checklist_rev10.xlsx → [P1_검색] S07 질의 입력 · [스모크20] 시트</t>
        </is>
      </c>
      <c r="H45" s="14" t="inlineStr"/>
      <c r="I45" s="15" t="inlineStr"/>
    </row>
    <row r="46">
      <c r="A46" s="5" t="inlineStr">
        <is>
          <t>nb05_smoke_test.py</t>
        </is>
      </c>
      <c r="B46" s="10" t="inlineStr">
        <is>
          <t>선택</t>
        </is>
      </c>
      <c r="C46" s="5" t="inlineStr">
        <is>
          <t>[1] 질문 20개</t>
        </is>
      </c>
      <c r="D46" s="10" t="n">
        <v>27</v>
      </c>
      <c r="E46" s="5" t="inlineStr">
        <is>
          <t>lab_io.read_table</t>
        </is>
      </c>
      <c r="F46" s="5" t="inlineStr">
        <is>
          <t>smoke_q</t>
        </is>
      </c>
      <c r="G46" s="5" t="inlineStr"/>
      <c r="H46" s="11" t="inlineStr"/>
      <c r="I46" s="12" t="inlineStr"/>
    </row>
    <row r="47">
      <c r="A47" s="5" t="inlineStr">
        <is>
          <t>nb05_smoke_test.py</t>
        </is>
      </c>
      <c r="B47" s="10" t="inlineStr">
        <is>
          <t>선택</t>
        </is>
      </c>
      <c r="C47" s="5" t="inlineStr">
        <is>
          <t>[2] 검색 방법 선택 — 'api' = 기존 사내 검색 API 그대로(권장) / 'lab' = 이 랩의 검색기</t>
        </is>
      </c>
      <c r="D47" s="10" t="n">
        <v>31</v>
      </c>
      <c r="E47" s="5" t="inlineStr">
        <is>
          <t>lab_io.load_chunks · lab_search.Retriever · lab_search.api_search · set_index · ret.search · lab_search.llm_answer</t>
        </is>
      </c>
      <c r="F47" s="5" t="inlineStr">
        <is>
          <t>HOW · corpus · ret</t>
        </is>
      </c>
      <c r="G47" s="5" t="inlineStr"/>
      <c r="H47" s="11" t="inlineStr"/>
      <c r="I47" s="12" t="inlineStr"/>
    </row>
    <row r="48">
      <c r="A48" s="5" t="inlineStr">
        <is>
          <t>nb05_smoke_test.py</t>
        </is>
      </c>
      <c r="B48" s="10" t="inlineStr">
        <is>
          <t>선택</t>
        </is>
      </c>
      <c r="C48" s="5" t="inlineStr">
        <is>
          <t>[3] 실행 → 판정용 엑셀 생성 (질문당 10행, 1행에 답변과 판정 칸)</t>
        </is>
      </c>
      <c r="D48" s="10" t="n">
        <v>51</v>
      </c>
      <c r="E48" s="5" t="inlineStr">
        <is>
          <t>lab_eval.smoke_template · lab_io.save</t>
        </is>
      </c>
      <c r="F48" s="5" t="inlineStr">
        <is>
          <t>smoke_tbl · smoke_path</t>
        </is>
      </c>
      <c r="G48" s="5" t="inlineStr"/>
      <c r="H48" s="11" t="inlineStr"/>
      <c r="I48" s="12" t="inlineStr"/>
    </row>
    <row r="49">
      <c r="A49" s="5" t="inlineStr">
        <is>
          <t>nb05_smoke_test.py</t>
        </is>
      </c>
      <c r="B49" s="10" t="inlineStr">
        <is>
          <t>선택</t>
        </is>
      </c>
      <c r="C49" s="5" t="inlineStr">
        <is>
          <t>[4] 판정한 파일 읽어서 집계 — JUDGED 경로만 바꾼다</t>
        </is>
      </c>
      <c r="D49" s="10" t="n">
        <v>59</v>
      </c>
      <c r="E49" s="5" t="inlineStr">
        <is>
          <t>smoke_path.replace · lab_io.read_table · lab_eval.smoke_summary</t>
        </is>
      </c>
      <c r="F49" s="5" t="inlineStr">
        <is>
          <t>JUDGED · smoke_judged · smoke_result</t>
        </is>
      </c>
      <c r="G49" s="5" t="inlineStr"/>
      <c r="H49" s="11" t="inlineStr"/>
      <c r="I49" s="12" t="inlineStr"/>
    </row>
    <row r="50">
      <c r="A50" s="24" t="inlineStr">
        <is>
          <t>nb06_retrieval_eval.py</t>
        </is>
      </c>
      <c r="B50" s="25" t="inlineStr">
        <is>
          <t>핵심</t>
        </is>
      </c>
      <c r="C50" s="24" t="inlineStr">
        <is>
          <t>[0] 준비 — 가장 먼저 실행</t>
        </is>
      </c>
      <c r="D50" s="25" t="n">
        <v>8</v>
      </c>
      <c r="E50" s="24" t="inlineStr"/>
      <c r="F50" s="24" t="inlineStr">
        <is>
          <t>LAB</t>
        </is>
      </c>
      <c r="G50" s="24" t="inlineStr">
        <is>
          <t>체크리스트: archive/inside/rag_checklist_rev10.xlsx → [P1_검색] S09~S12 · S15 평가</t>
        </is>
      </c>
      <c r="H50" s="25" t="inlineStr"/>
      <c r="I50" s="24" t="inlineStr"/>
    </row>
    <row r="51">
      <c r="A51" s="5" t="inlineStr">
        <is>
          <t>nb06_retrieval_eval.py</t>
        </is>
      </c>
      <c r="B51" s="10" t="inlineStr">
        <is>
          <t>핵심</t>
        </is>
      </c>
      <c r="C51" s="5" t="inlineStr">
        <is>
          <t>[1] 정답지 — golden/golden_sample100.csv (사내: golden_v1.csv) · 직접 고쳐가며 실험 가능</t>
        </is>
      </c>
      <c r="D51" s="10" t="n">
        <v>25</v>
      </c>
      <c r="E51" s="5" t="inlineStr">
        <is>
          <t>lab_io.load_golden · golden.q_type.value_counts</t>
        </is>
      </c>
      <c r="F51" s="5" t="inlineStr">
        <is>
          <t>golden</t>
        </is>
      </c>
      <c r="G51" s="5" t="inlineStr"/>
      <c r="H51" s="11" t="inlineStr"/>
      <c r="I51" s="12" t="inlineStr"/>
    </row>
    <row r="52">
      <c r="A52" s="5" t="inlineStr">
        <is>
          <t>nb06_retrieval_eval.py</t>
        </is>
      </c>
      <c r="B52" s="10" t="inlineStr">
        <is>
          <t>핵심</t>
        </is>
      </c>
      <c r="C52" s="5" t="inlineStr">
        <is>
          <t>[2] 검색기 구성 — PARTS 로 켤 검색기 선택, BM25_TOK 로 토크나이저 선택</t>
        </is>
      </c>
      <c r="D52" s="10" t="n">
        <v>29</v>
      </c>
      <c r="E52" s="5" t="inlineStr">
        <is>
          <t>lab_io.load_chunks · lab_search.Retriever · drop_duplicates · corpus.dropna · pd.concat</t>
        </is>
      </c>
      <c r="F52" s="5" t="inlineStr">
        <is>
          <t>PARTS · BM25_TOK · CORPUS_N · corpus · ret</t>
        </is>
      </c>
      <c r="G52" s="5" t="inlineStr"/>
      <c r="H52" s="11" t="inlineStr"/>
      <c r="I52" s="12" t="inlineStr"/>
    </row>
    <row r="53">
      <c r="A53" s="5" t="inlineStr">
        <is>
          <t>nb06_retrieval_eval.py</t>
        </is>
      </c>
      <c r="B53" s="10" t="inlineStr">
        <is>
          <t>핵심</t>
        </is>
      </c>
      <c r="C53" s="5" t="inlineStr">
        <is>
          <t>[3] 단계별 비교 — 같은 골든셋, 같은 지표</t>
        </is>
      </c>
      <c r="D53" s="10" t="n">
        <v>41</v>
      </c>
      <c r="E53" s="5" t="inlineStr">
        <is>
          <t>lab_eval.evaluate · ret.search</t>
        </is>
      </c>
      <c r="F53" s="5" t="inlineStr">
        <is>
          <t>MODES · search_fn</t>
        </is>
      </c>
      <c r="G53" s="5" t="inlineStr"/>
      <c r="H53" s="11" t="inlineStr"/>
      <c r="I53" s="12" t="inlineStr"/>
    </row>
    <row r="54">
      <c r="A54" s="5" t="inlineStr">
        <is>
          <t>nb06_retrieval_eval.py</t>
        </is>
      </c>
      <c r="B54" s="10" t="inlineStr">
        <is>
          <t>핵심</t>
        </is>
      </c>
      <c r="C54" s="5" t="inlineStr">
        <is>
          <t>[4] 어디서 약한가 — 질문 유형별 · 소스별 Hit@5</t>
        </is>
      </c>
      <c r="D54" s="10" t="n">
        <v>48</v>
      </c>
      <c r="E54" s="5" t="inlineStr">
        <is>
          <t>lab_eval.breakdown</t>
        </is>
      </c>
      <c r="F54" s="5" t="inlineStr">
        <is>
          <t>by_type · by_source</t>
        </is>
      </c>
      <c r="G54" s="5" t="inlineStr"/>
      <c r="H54" s="11" t="inlineStr"/>
      <c r="I54" s="12" t="inlineStr"/>
    </row>
    <row r="55">
      <c r="A55" s="5" t="inlineStr">
        <is>
          <t>nb06_retrieval_eval.py</t>
        </is>
      </c>
      <c r="B55" s="10" t="inlineStr">
        <is>
          <t>핵심</t>
        </is>
      </c>
      <c r="C55" s="5" t="inlineStr">
        <is>
          <t>[5] RRF k · MMR λ 스윕 (S11-2 · S11-3)</t>
        </is>
      </c>
      <c r="D55" s="10" t="n">
        <v>53</v>
      </c>
      <c r="E55" s="5" t="inlineStr">
        <is>
          <t>pd.DataFrame · lab_eval.evaluate · sweep_rows.append · ret.search</t>
        </is>
      </c>
      <c r="F55" s="5" t="inlineStr">
        <is>
          <t>sweep_rows · sweep · fn</t>
        </is>
      </c>
      <c r="G55" s="5" t="inlineStr"/>
      <c r="H55" s="11" t="inlineStr"/>
      <c r="I55" s="12" t="inlineStr"/>
    </row>
    <row r="56">
      <c r="A56" s="5" t="inlineStr">
        <is>
          <t>nb06_retrieval_eval.py</t>
        </is>
      </c>
      <c r="B56" s="10" t="inlineStr">
        <is>
          <t>핵심</t>
        </is>
      </c>
      <c r="C56" s="5" t="inlineStr">
        <is>
          <t>[6] 틀린 문항 보기 — MODE 만 바꿔서</t>
        </is>
      </c>
      <c r="D56" s="10" t="n">
        <v>63</v>
      </c>
      <c r="E56" s="5" t="inlineStr">
        <is>
          <t>failures.merge</t>
        </is>
      </c>
      <c r="F56" s="5" t="inlineStr">
        <is>
          <t>MODE · failures</t>
        </is>
      </c>
      <c r="G56" s="5" t="inlineStr"/>
      <c r="H56" s="11" t="inlineStr"/>
      <c r="I56" s="12" t="inlineStr"/>
    </row>
    <row r="57">
      <c r="A57" s="5" t="inlineStr">
        <is>
          <t>nb06_retrieval_eval.py</t>
        </is>
      </c>
      <c r="B57" s="10" t="inlineStr">
        <is>
          <t>핵심</t>
        </is>
      </c>
      <c r="C57" s="5" t="inlineStr">
        <is>
          <t>[7] 질문 하나 드릴다운 — 단계별 상위 5개 나란히</t>
        </is>
      </c>
      <c r="D57" s="10" t="n">
        <v>69</v>
      </c>
      <c r="E57" s="5" t="inlineStr">
        <is>
          <t>pd.concat · golden.set_index · ret.search</t>
        </is>
      </c>
      <c r="F57" s="5" t="inlineStr">
        <is>
          <t>QID · drill</t>
        </is>
      </c>
      <c r="G57" s="5" t="inlineStr"/>
      <c r="H57" s="11" t="inlineStr"/>
      <c r="I57" s="12" t="inlineStr"/>
    </row>
    <row r="58">
      <c r="A58" s="5" t="inlineStr">
        <is>
          <t>nb06_retrieval_eval.py</t>
        </is>
      </c>
      <c r="B58" s="10" t="inlineStr">
        <is>
          <t>핵심</t>
        </is>
      </c>
      <c r="C58" s="5" t="inlineStr">
        <is>
          <t>[8] 저장 (실험 기록 — 날짜 · 설정과 함께)</t>
        </is>
      </c>
      <c r="D58" s="10" t="n">
        <v>75</v>
      </c>
      <c r="E58" s="5" t="inlineStr">
        <is>
          <t>assign · lab_io.save · summary.reset_index</t>
        </is>
      </c>
      <c r="F58" s="5" t="inlineStr">
        <is>
          <t>summary_out</t>
        </is>
      </c>
      <c r="G58" s="5" t="inlineStr"/>
      <c r="H58" s="11" t="inlineStr"/>
      <c r="I58" s="12" t="inlineStr"/>
    </row>
    <row r="59">
      <c r="A59" s="15" t="inlineStr">
        <is>
          <t>nb07_sql_router.py</t>
        </is>
      </c>
      <c r="B59" s="14" t="inlineStr">
        <is>
          <t>선택</t>
        </is>
      </c>
      <c r="C59" s="15" t="inlineStr">
        <is>
          <t>[0] 준비 — 가장 먼저 실행</t>
        </is>
      </c>
      <c r="D59" s="14" t="n">
        <v>9</v>
      </c>
      <c r="E59" s="15" t="inlineStr"/>
      <c r="F59" s="15" t="inlineStr">
        <is>
          <t>LAB</t>
        </is>
      </c>
      <c r="G59" s="15" t="inlineStr">
        <is>
          <t>체크리스트: archive/inside/rag_checklist_rev10.xlsx → [P3_정형연계] S22~S29 · [정형연계_패턴]</t>
        </is>
      </c>
      <c r="H59" s="14" t="inlineStr"/>
      <c r="I59" s="15" t="inlineStr"/>
    </row>
    <row r="60">
      <c r="A60" s="5" t="inlineStr">
        <is>
          <t>nb07_sql_router.py</t>
        </is>
      </c>
      <c r="B60" s="10" t="inlineStr">
        <is>
          <t>선택</t>
        </is>
      </c>
      <c r="C60" s="5" t="inlineStr">
        <is>
          <t>[1] S22 카탈로그 — 지표 정의서 읽기 (catalog/metric_catalog.xlsx, 없으면 예시 파일)</t>
        </is>
      </c>
      <c r="D60" s="10" t="n">
        <v>27</v>
      </c>
      <c r="E60" s="5" t="inlineStr">
        <is>
          <t>lab_sql.load_catalog · lab_sql.allow_map</t>
        </is>
      </c>
      <c r="F60" s="5" t="inlineStr">
        <is>
          <t>cat</t>
        </is>
      </c>
      <c r="G60" s="5" t="inlineStr"/>
      <c r="H60" s="11" t="inlineStr"/>
      <c r="I60" s="12" t="inlineStr"/>
    </row>
    <row r="61">
      <c r="A61" s="5" t="inlineStr">
        <is>
          <t>nb07_sql_router.py</t>
        </is>
      </c>
      <c r="B61" s="10" t="inlineStr">
        <is>
          <t>선택</t>
        </is>
      </c>
      <c r="C61" s="5" t="inlineStr">
        <is>
          <t>[2] LLM 에 줄 스키마 설명 — 전체가 아니라 허용 뷰만 (S23 · S25)</t>
        </is>
      </c>
      <c r="D61" s="10" t="n">
        <v>36</v>
      </c>
      <c r="E61" s="5" t="inlineStr">
        <is>
          <t>lab_sql.schema_prompt</t>
        </is>
      </c>
      <c r="F61" s="5" t="inlineStr">
        <is>
          <t>schema_txt</t>
        </is>
      </c>
      <c r="G61" s="5" t="inlineStr"/>
      <c r="H61" s="11" t="inlineStr"/>
      <c r="I61" s="12" t="inlineStr"/>
    </row>
    <row r="62">
      <c r="A62" s="5" t="inlineStr">
        <is>
          <t>nb07_sql_router.py</t>
        </is>
      </c>
      <c r="B62" s="10" t="inlineStr">
        <is>
          <t>선택</t>
        </is>
      </c>
      <c r="C62" s="5" t="inlineStr">
        <is>
          <t>[3] S24 라우팅 — 질문을 정형 / 비정형 / 혼합 / 불가로</t>
        </is>
      </c>
      <c r="D62" s="10" t="n">
        <v>40</v>
      </c>
      <c r="E62" s="5" t="inlineStr">
        <is>
          <t>pd.DataFrame · lab_sql.route · rows.append · map</t>
        </is>
      </c>
      <c r="F62" s="5" t="inlineStr">
        <is>
          <t>QUESTIONS · rows · routing</t>
        </is>
      </c>
      <c r="G62" s="5" t="inlineStr"/>
      <c r="H62" s="11" t="inlineStr"/>
      <c r="I62" s="12" t="inlineStr"/>
    </row>
    <row r="63">
      <c r="A63" s="5" t="inlineStr">
        <is>
          <t>nb07_sql_router.py</t>
        </is>
      </c>
      <c r="B63" s="10" t="inlineStr">
        <is>
          <t>선택</t>
        </is>
      </c>
      <c r="C63" s="5" t="inlineStr">
        <is>
          <t>[4] S25 SQL 생성 + 정적 검증 — 실행 전에 막는다</t>
        </is>
      </c>
      <c r="D63" s="10" t="n">
        <v>57</v>
      </c>
      <c r="E63" s="5" t="inlineStr">
        <is>
          <t>lab_sql.make_sql · lab_sql.validate · lab_sql.explain</t>
        </is>
      </c>
      <c r="F63" s="5" t="inlineStr">
        <is>
          <t>QUESTION · check</t>
        </is>
      </c>
      <c r="G63" s="5" t="inlineStr"/>
      <c r="H63" s="11" t="inlineStr"/>
      <c r="I63" s="12" t="inlineStr"/>
    </row>
    <row r="64">
      <c r="A64" s="5" t="inlineStr">
        <is>
          <t>nb07_sql_router.py</t>
        </is>
      </c>
      <c r="B64" s="10" t="inlineStr">
        <is>
          <t>선택</t>
        </is>
      </c>
      <c r="C64" s="5" t="inlineStr">
        <is>
          <t>[5] 차단 동작 확인 — 금지 구문 · 허용 목록 밖 테이블 (S25 · S28)</t>
        </is>
      </c>
      <c r="D64" s="10" t="n">
        <v>66</v>
      </c>
      <c r="E64" s="5" t="inlineStr">
        <is>
          <t>pd.DataFrame · BAD.items · lab_sql.validate</t>
        </is>
      </c>
      <c r="F64" s="5" t="inlineStr">
        <is>
          <t>BAD · guard</t>
        </is>
      </c>
      <c r="G64" s="5" t="inlineStr"/>
      <c r="H64" s="11" t="inlineStr"/>
      <c r="I64" s="12" t="inlineStr"/>
    </row>
    <row r="65">
      <c r="A65" s="5" t="inlineStr">
        <is>
          <t>nb07_sql_router.py</t>
        </is>
      </c>
      <c r="B65" s="10" t="inlineStr">
        <is>
          <t>선택</t>
        </is>
      </c>
      <c r="C65" s="5" t="inlineStr">
        <is>
          <t>[6] 실행 + S26 결합 — 표에 쿼리 출처 라벨을 붙여 컨텍스트로</t>
        </is>
      </c>
      <c r="D65" s="10" t="n">
        <v>77</v>
      </c>
      <c r="E65" s="5" t="inlineStr">
        <is>
          <t>lab_sql.answer_from_sql · lab_sql.run_sql · pd.DataFrame · pd.Timestamp.now</t>
        </is>
      </c>
      <c r="F65" s="5" t="inlineStr">
        <is>
          <t>result · label · context</t>
        </is>
      </c>
      <c r="G65" s="5" t="inlineStr"/>
      <c r="H65" s="11" t="inlineStr"/>
      <c r="I65" s="12" t="inlineStr"/>
    </row>
    <row r="66">
      <c r="A66" s="5" t="inlineStr">
        <is>
          <t>nb07_sql_router.py</t>
        </is>
      </c>
      <c r="B66" s="10" t="inlineStr">
        <is>
          <t>선택</t>
        </is>
      </c>
      <c r="C66" s="5" t="inlineStr">
        <is>
          <t>[7] 혼합 질문 — SQL 표 + RAG 청크를 한 답변으로 (패턴 A)</t>
        </is>
      </c>
      <c r="D66" s="10" t="n">
        <v>84</v>
      </c>
      <c r="E66" s="5" t="inlineStr">
        <is>
          <t>lab_sql.make_sql · lab_sql.validate · lab_io.load_chunks · lab_search.Retriever · _ret.search · lab_sql.run_sql</t>
        </is>
      </c>
      <c r="F66" s="5" t="inlineStr">
        <is>
          <t>HYBRID_Q · chk_h · tbl_h · rag_h · mixed_context</t>
        </is>
      </c>
      <c r="G66" s="5" t="inlineStr"/>
      <c r="H66" s="11" t="inlineStr"/>
      <c r="I66" s="12" t="inlineStr"/>
    </row>
    <row r="67">
      <c r="A67" s="5" t="inlineStr">
        <is>
          <t>nb07_sql_router.py</t>
        </is>
      </c>
      <c r="B67" s="10" t="inlineStr">
        <is>
          <t>선택</t>
        </is>
      </c>
      <c r="C67" s="5" t="inlineStr">
        <is>
          <t>[8] S29 평가 — 라우팅 정확도 · SQL 유효율 · 실행결과 정확도(EX)</t>
        </is>
      </c>
      <c r="D67" s="10" t="n">
        <v>97</v>
      </c>
      <c r="E67" s="5" t="inlineStr">
        <is>
          <t>golden_sql.itertuples · pd.DataFrame · pd.Series · lab_sample_sql.golden · lab_io.read_table · lab_sql.route</t>
        </is>
      </c>
      <c r="F67" s="5" t="inlineStr">
        <is>
          <t>golden_sql · rows · sql_eval · summary_sql · rec · v</t>
        </is>
      </c>
      <c r="G67" s="5" t="inlineStr"/>
      <c r="H67" s="11" t="inlineStr"/>
      <c r="I67" s="12" t="inlineStr"/>
    </row>
    <row r="68">
      <c r="A68" s="5" t="inlineStr">
        <is>
          <t>nb07_sql_router.py</t>
        </is>
      </c>
      <c r="B68" s="10" t="inlineStr">
        <is>
          <t>선택</t>
        </is>
      </c>
      <c r="C68" s="5" t="inlineStr">
        <is>
          <t>[9] 저장</t>
        </is>
      </c>
      <c r="D68" s="10" t="n">
        <v>128</v>
      </c>
      <c r="E68" s="5" t="inlineStr">
        <is>
          <t>lab_io.save · rename · summary_sql.rename</t>
        </is>
      </c>
      <c r="F68" s="5" t="inlineStr"/>
      <c r="G68" s="5" t="inlineStr"/>
      <c r="H68" s="11" t="inlineStr"/>
      <c r="I68" s="12" t="inlineStr"/>
    </row>
    <row r="69">
      <c r="A69" s="15" t="inlineStr">
        <is>
          <t>nb08_auto_eval.py</t>
        </is>
      </c>
      <c r="B69" s="14" t="inlineStr">
        <is>
          <t>선택</t>
        </is>
      </c>
      <c r="C69" s="15" t="inlineStr">
        <is>
          <t>[0] 준비 — 가장 먼저 실행</t>
        </is>
      </c>
      <c r="D69" s="14" t="n">
        <v>10</v>
      </c>
      <c r="E69" s="15" t="inlineStr"/>
      <c r="F69" s="15" t="inlineStr">
        <is>
          <t>LAB</t>
        </is>
      </c>
      <c r="G69" s="15" t="inlineStr">
        <is>
          <t>체크리스트: archive/inside/rag_checklist_rev10.xlsx → [P1_검색] S15 평가</t>
        </is>
      </c>
      <c r="H69" s="14" t="inlineStr"/>
      <c r="I69" s="15" t="inlineStr"/>
    </row>
    <row r="70">
      <c r="A70" s="5" t="inlineStr">
        <is>
          <t>nb08_auto_eval.py</t>
        </is>
      </c>
      <c r="B70" s="10" t="inlineStr">
        <is>
          <t>선택</t>
        </is>
      </c>
      <c r="C70" s="5" t="inlineStr">
        <is>
          <t>[1] 코퍼스 적재 + 검색기 구성</t>
        </is>
      </c>
      <c r="D70" s="10" t="n">
        <v>28</v>
      </c>
      <c r="E70" s="5" t="inlineStr">
        <is>
          <t>lab_io.load_raw · lab_search.Retriever · ret.search · dropna · lab_io.load_chunks</t>
        </is>
      </c>
      <c r="F70" s="5" t="inlineStr">
        <is>
          <t>docs · chunks · ret · search_fn</t>
        </is>
      </c>
      <c r="G70" s="5" t="inlineStr"/>
      <c r="H70" s="11" t="inlineStr"/>
      <c r="I70" s="12" t="inlineStr"/>
    </row>
    <row r="71">
      <c r="A71" s="5" t="inlineStr">
        <is>
          <t>nb08_auto_eval.py</t>
        </is>
      </c>
      <c r="B71" s="10" t="inlineStr">
        <is>
          <t>선택</t>
        </is>
      </c>
      <c r="C71" s="5" t="inlineStr">
        <is>
          <t>[2] L1 known-item — 원문 문장을 질의로 (라벨 작업 0건)</t>
        </is>
      </c>
      <c r="D71" s="10" t="n">
        <v>36</v>
      </c>
      <c r="E71" s="5" t="inlineStr">
        <is>
          <t>lab_autoeval.make_known_item · lab_autoeval.sample_size_note</t>
        </is>
      </c>
      <c r="F71" s="5" t="inlineStr">
        <is>
          <t>N_KNOWN · eval_known</t>
        </is>
      </c>
      <c r="G71" s="5" t="inlineStr"/>
      <c r="H71" s="11" t="inlineStr"/>
      <c r="I71" s="12" t="inlineStr"/>
    </row>
    <row r="72">
      <c r="A72" s="5" t="inlineStr">
        <is>
          <t>nb08_auto_eval.py</t>
        </is>
      </c>
      <c r="B72" s="10" t="inlineStr">
        <is>
          <t>선택</t>
        </is>
      </c>
      <c r="C72" s="5" t="inlineStr">
        <is>
          <t>[3] L1b 제목 질의 + L1c 중복쌍</t>
        </is>
      </c>
      <c r="D72" s="10" t="n">
        <v>42</v>
      </c>
      <c r="E72" s="5" t="inlineStr">
        <is>
          <t>lab_autoeval.make_title_query · lab_autoeval.make_dup_pair · eval_dup.head</t>
        </is>
      </c>
      <c r="F72" s="5" t="inlineStr">
        <is>
          <t>eval_title · eval_dup</t>
        </is>
      </c>
      <c r="G72" s="5" t="inlineStr"/>
      <c r="H72" s="11" t="inlineStr"/>
      <c r="I72" s="12" t="inlineStr"/>
    </row>
    <row r="73">
      <c r="A73" s="5" t="inlineStr">
        <is>
          <t>nb08_auto_eval.py</t>
        </is>
      </c>
      <c r="B73" s="10" t="inlineStr">
        <is>
          <t>선택</t>
        </is>
      </c>
      <c r="C73" s="5" t="inlineStr">
        <is>
          <t>[4] L2 합성 QA — 사내 LLM 이 질문 생성 (live 에서 LLM_URL 필요)</t>
        </is>
      </c>
      <c r="D73" s="10" t="n">
        <v>48</v>
      </c>
      <c r="E73" s="5" t="inlineStr">
        <is>
          <t>lab_autoeval.make_synthetic</t>
        </is>
      </c>
      <c r="F73" s="5" t="inlineStr">
        <is>
          <t>N_SYN · eval_syn</t>
        </is>
      </c>
      <c r="G73" s="5" t="inlineStr"/>
      <c r="H73" s="11" t="inlineStr"/>
      <c r="I73" s="12" t="inlineStr"/>
    </row>
    <row r="74">
      <c r="A74" s="5" t="inlineStr">
        <is>
          <t>nb08_auto_eval.py</t>
        </is>
      </c>
      <c r="B74" s="10" t="inlineStr">
        <is>
          <t>선택</t>
        </is>
      </c>
      <c r="C74" s="5" t="inlineStr">
        <is>
          <t>[5] 측정 — 세트별 Recall@k · MRR</t>
        </is>
      </c>
      <c r="D74" s="10" t="n">
        <v>59</v>
      </c>
      <c r="E74" s="5" t="inlineStr">
        <is>
          <t>pd.concat · eval_df.itertuples · pd.DataFrame · run · parts.append · search_fn</t>
        </is>
      </c>
      <c r="F74" s="5" t="inlineStr">
        <is>
          <t>parts · detail · by_set · by_level · rows · res</t>
        </is>
      </c>
      <c r="G74" s="5" t="inlineStr"/>
      <c r="H74" s="11" t="inlineStr"/>
      <c r="I74" s="12" t="inlineStr"/>
    </row>
    <row r="75">
      <c r="A75" s="5" t="inlineStr">
        <is>
          <t>nb08_auto_eval.py</t>
        </is>
      </c>
      <c r="B75" s="10" t="inlineStr">
        <is>
          <t>선택</t>
        </is>
      </c>
      <c r="C75" s="5" t="inlineStr">
        <is>
          <t>[6] 기준 대비 판정 — CRITERIA 와 비교</t>
        </is>
      </c>
      <c r="D75" s="10" t="n">
        <v>80</v>
      </c>
      <c r="E75" s="5" t="inlineStr">
        <is>
          <t>pd.DataFrame · crit.apply · got.get · crit.itertuples · pd.isna · replace</t>
        </is>
      </c>
      <c r="F75" s="5" t="inlineStr">
        <is>
          <t>crit · got · thr · v</t>
        </is>
      </c>
      <c r="G75" s="5" t="inlineStr"/>
      <c r="H75" s="11" t="inlineStr"/>
      <c r="I75" s="12" t="inlineStr"/>
    </row>
    <row r="76">
      <c r="A76" s="5" t="inlineStr">
        <is>
          <t>nb08_auto_eval.py</t>
        </is>
      </c>
      <c r="B76" s="10" t="inlineStr">
        <is>
          <t>선택</t>
        </is>
      </c>
      <c r="C76" s="5" t="inlineStr">
        <is>
          <t>[7] 실패 문항 — 눈으로 볼 대상 (수동 골든셋 후보)</t>
        </is>
      </c>
      <c r="D76" s="10" t="n">
        <v>103</v>
      </c>
      <c r="E76" s="5" t="inlineStr">
        <is>
          <t>fails.head</t>
        </is>
      </c>
      <c r="F76" s="5" t="inlineStr">
        <is>
          <t>fails</t>
        </is>
      </c>
      <c r="G76" s="5" t="inlineStr"/>
      <c r="H76" s="11" t="inlineStr"/>
      <c r="I76" s="12" t="inlineStr"/>
    </row>
    <row r="77">
      <c r="A77" s="5" t="inlineStr">
        <is>
          <t>nb08_auto_eval.py</t>
        </is>
      </c>
      <c r="B77" s="10" t="inlineStr">
        <is>
          <t>선택</t>
        </is>
      </c>
      <c r="C77" s="5" t="inlineStr">
        <is>
          <t>[8] 저장 — 평가셋 · 결과 (평가셋은 골든셋 v1 의 씨앗으로 재사용)</t>
        </is>
      </c>
      <c r="D77" s="10" t="n">
        <v>108</v>
      </c>
      <c r="E77" s="5" t="inlineStr">
        <is>
          <t>by_set.reset_index · lab_io.save</t>
        </is>
      </c>
      <c r="F77" s="5" t="inlineStr"/>
      <c r="G77" s="5" t="inlineStr"/>
      <c r="H77" s="11" t="inlineStr"/>
      <c r="I77" s="12" t="inlineStr"/>
    </row>
    <row r="78">
      <c r="A78" s="15" t="inlineStr">
        <is>
          <t>nb09_golden_build.py</t>
        </is>
      </c>
      <c r="B78" s="14" t="inlineStr">
        <is>
          <t>참고</t>
        </is>
      </c>
      <c r="C78" s="15" t="inlineStr">
        <is>
          <t>[0] 준비 — 가장 먼저 실행</t>
        </is>
      </c>
      <c r="D78" s="14" t="n">
        <v>9</v>
      </c>
      <c r="E78" s="15" t="inlineStr"/>
      <c r="F78" s="15" t="inlineStr">
        <is>
          <t>LAB</t>
        </is>
      </c>
      <c r="G78" s="15" t="inlineStr">
        <is>
          <t>기입 엑셀: archive/inside/golden_eval_pack_rev4.xlsx → [1] [2] [3] 시트</t>
        </is>
      </c>
      <c r="H78" s="14" t="inlineStr"/>
      <c r="I78" s="15" t="inlineStr"/>
    </row>
    <row r="79">
      <c r="A79" s="5" t="inlineStr">
        <is>
          <t>nb09_golden_build.py</t>
        </is>
      </c>
      <c r="B79" s="10" t="inlineStr">
        <is>
          <t>참고</t>
        </is>
      </c>
      <c r="C79" s="5" t="inlineStr">
        <is>
          <t>[1] 자동 평가셋 생성 (nb08 과 동일 · 규모만 조정)</t>
        </is>
      </c>
      <c r="D79" s="10" t="n">
        <v>27</v>
      </c>
      <c r="E79" s="5" t="inlineStr">
        <is>
          <t>lab_io.load_raw · lab_autoeval.make_known_item · lab_autoeval.make_title_query · lab_autoeval.make_synthetic · dropna · sets.items</t>
        </is>
      </c>
      <c r="F79" s="5" t="inlineStr">
        <is>
          <t>docs · chunks · sets</t>
        </is>
      </c>
      <c r="G79" s="5" t="inlineStr"/>
      <c r="H79" s="11" t="inlineStr"/>
      <c r="I79" s="12" t="inlineStr"/>
    </row>
    <row r="80">
      <c r="A80" s="5" t="inlineStr">
        <is>
          <t>nb09_golden_build.py</t>
        </is>
      </c>
      <c r="B80" s="10" t="inlineStr">
        <is>
          <t>참고</t>
        </is>
      </c>
      <c r="C80" s="5" t="inlineStr">
        <is>
          <t>[2] 검수 시트 내보내기 → 엑셀 `1_골든셋_검수` 에 붙여넣기</t>
        </is>
      </c>
      <c r="D80" s="10" t="n">
        <v>37</v>
      </c>
      <c r="E80" s="5" t="inlineStr">
        <is>
          <t>lab_autoeval.to_review · lab_io.save · review.head</t>
        </is>
      </c>
      <c r="F80" s="5" t="inlineStr">
        <is>
          <t>review · review_path</t>
        </is>
      </c>
      <c r="G80" s="5" t="inlineStr"/>
      <c r="H80" s="11" t="inlineStr"/>
      <c r="I80" s="12" t="inlineStr"/>
    </row>
    <row r="81">
      <c r="A81" s="5" t="inlineStr">
        <is>
          <t>nb09_golden_build.py</t>
        </is>
      </c>
      <c r="B81" s="10" t="inlineStr">
        <is>
          <t>참고</t>
        </is>
      </c>
      <c r="C81" s="5" t="inlineStr">
        <is>
          <t>[3] 검수 완료분 → 골든셋 확정 (golden/golden_v1.csv)</t>
        </is>
      </c>
      <c r="D81" s="10" t="n">
        <v>43</v>
      </c>
      <c r="E81" s="5" t="inlineStr">
        <is>
          <t>review_path.replace · lab_io.read_table · lab_autoeval.from_review · golden.to_csv</t>
        </is>
      </c>
      <c r="F81" s="5" t="inlineStr">
        <is>
          <t>REVIEWED · reviewed · golden</t>
        </is>
      </c>
      <c r="G81" s="5" t="inlineStr"/>
      <c r="H81" s="11" t="inlineStr"/>
      <c r="I81" s="12" t="inlineStr"/>
    </row>
    <row r="82">
      <c r="A82" s="5" t="inlineStr">
        <is>
          <t>nb09_golden_build.py</t>
        </is>
      </c>
      <c r="B82" s="10" t="inlineStr">
        <is>
          <t>참고</t>
        </is>
      </c>
      <c r="C82" s="5" t="inlineStr">
        <is>
          <t>[4] 골든셋으로 측정</t>
        </is>
      </c>
      <c r="D82" s="10" t="n">
        <v>56</v>
      </c>
      <c r="E82" s="5" t="inlineStr">
        <is>
          <t>lab_io.load_golden · lab_search.Retriever · lab_eval.evaluate · ret.search</t>
        </is>
      </c>
      <c r="F82" s="5" t="inlineStr">
        <is>
          <t>golden · ret · search_fn</t>
        </is>
      </c>
      <c r="G82" s="5" t="inlineStr"/>
      <c r="H82" s="11" t="inlineStr"/>
      <c r="I82" s="12" t="inlineStr"/>
    </row>
    <row r="83">
      <c r="A83" s="5" t="inlineStr">
        <is>
          <t>nb09_golden_build.py</t>
        </is>
      </c>
      <c r="B83" s="10" t="inlineStr">
        <is>
          <t>참고</t>
        </is>
      </c>
      <c r="C83" s="5" t="inlineStr">
        <is>
          <t>[5] 실행 기록 한 행 → 엑셀 `3_평가_실행기록` 에 붙여넣기</t>
        </is>
      </c>
      <c r="D83" s="10" t="n">
        <v>64</v>
      </c>
      <c r="E83" s="5" t="inlineStr">
        <is>
          <t>lab_autoeval.run_record · lab_io.save</t>
        </is>
      </c>
      <c r="F83" s="5" t="inlineStr">
        <is>
          <t>rec</t>
        </is>
      </c>
      <c r="G83" s="5" t="inlineStr"/>
      <c r="H83" s="11" t="inlineStr"/>
      <c r="I83" s="12" t="inlineStr"/>
    </row>
    <row r="84">
      <c r="A84" s="5" t="inlineStr">
        <is>
          <t>nb09_golden_build.py</t>
        </is>
      </c>
      <c r="B84" s="10" t="inlineStr">
        <is>
          <t>참고</t>
        </is>
      </c>
      <c r="C84" s="5" t="inlineStr">
        <is>
          <t>[6] 문항별 결과 → 엑셀 `6_문항별_결과` 에 붙여넣기</t>
        </is>
      </c>
      <c r="D84" s="10" t="n">
        <v>70</v>
      </c>
      <c r="E84" s="5" t="inlineStr">
        <is>
          <t>lab_io.save · per_q.head</t>
        </is>
      </c>
      <c r="F84" s="5" t="inlineStr">
        <is>
          <t>per_q</t>
        </is>
      </c>
      <c r="G84" s="5" t="inlineStr"/>
      <c r="H84" s="11" t="inlineStr"/>
      <c r="I84" s="12" t="inlineStr"/>
    </row>
    <row r="85">
      <c r="A85" s="24" t="inlineStr">
        <is>
          <t>nb10_answer_eval.py</t>
        </is>
      </c>
      <c r="B85" s="25" t="inlineStr">
        <is>
          <t>핵심</t>
        </is>
      </c>
      <c r="C85" s="24" t="inlineStr">
        <is>
          <t>[0] 준비 — 가장 먼저 실행</t>
        </is>
      </c>
      <c r="D85" s="25" t="n">
        <v>11</v>
      </c>
      <c r="E85" s="24" t="inlineStr"/>
      <c r="F85" s="24" t="inlineStr">
        <is>
          <t>LAB</t>
        </is>
      </c>
      <c r="G85" s="24" t="inlineStr">
        <is>
          <t>기입 엑셀: archive/inside/golden_eval_pack_rev4.xlsx → [7_답변평가] [8_표준지표]</t>
        </is>
      </c>
      <c r="H85" s="25" t="inlineStr"/>
      <c r="I85" s="24" t="inlineStr"/>
    </row>
    <row r="86">
      <c r="A86" s="5" t="inlineStr">
        <is>
          <t>nb10_answer_eval.py</t>
        </is>
      </c>
      <c r="B86" s="10" t="inlineStr">
        <is>
          <t>핵심</t>
        </is>
      </c>
      <c r="C86" s="5" t="inlineStr">
        <is>
          <t>[1] 정답지 — golden/golden_sample100.csv (사내: golden_v1.csv)</t>
        </is>
      </c>
      <c r="D86" s="10" t="n">
        <v>29</v>
      </c>
      <c r="E86" s="5" t="inlineStr">
        <is>
          <t>lab_io.load_golden · gold.q_type.value_counts · gold.head</t>
        </is>
      </c>
      <c r="F86" s="5" t="inlineStr">
        <is>
          <t>gold</t>
        </is>
      </c>
      <c r="G86" s="5" t="inlineStr"/>
      <c r="H86" s="11" t="inlineStr"/>
      <c r="I86" s="12" t="inlineStr"/>
    </row>
    <row r="87">
      <c r="A87" s="5" t="inlineStr">
        <is>
          <t>nb10_answer_eval.py</t>
        </is>
      </c>
      <c r="B87" s="10" t="inlineStr">
        <is>
          <t>핵심</t>
        </is>
      </c>
      <c r="C87" s="5" t="inlineStr">
        <is>
          <t>[2] 지표 카탈로그 — 생성 쪽 지표가 여기서 계산된다</t>
        </is>
      </c>
      <c r="D87" s="10" t="n">
        <v>34</v>
      </c>
      <c r="E87" s="5" t="inlineStr">
        <is>
          <t>lab_ragas.catalog</t>
        </is>
      </c>
      <c r="F87" s="5" t="inlineStr">
        <is>
          <t>catalog</t>
        </is>
      </c>
      <c r="G87" s="5" t="inlineStr"/>
      <c r="H87" s="11" t="inlineStr"/>
      <c r="I87" s="12" t="inlineStr"/>
    </row>
    <row r="88">
      <c r="A88" s="5" t="inlineStr">
        <is>
          <t>nb10_answer_eval.py</t>
        </is>
      </c>
      <c r="B88" s="10" t="inlineStr">
        <is>
          <t>핵심</t>
        </is>
      </c>
      <c r="C88" s="5" t="inlineStr">
        <is>
          <t>[3] 검색 → 답변 만들기 (방식 3가지)</t>
        </is>
      </c>
      <c r="D88" s="10" t="n">
        <v>38</v>
      </c>
      <c r="E88" s="5" t="inlineStr">
        <is>
          <t>lab_search.Retriever · set_index · itertuples · ret.search · tolist · rows.append</t>
        </is>
      </c>
      <c r="F88" s="5" t="inlineStr">
        <is>
          <t>corpus · ret · meta · rows · res · ctx</t>
        </is>
      </c>
      <c r="G88" s="5" t="inlineStr"/>
      <c r="H88" s="11" t="inlineStr"/>
      <c r="I88" s="12" t="inlineStr"/>
    </row>
    <row r="89">
      <c r="A89" s="5" t="inlineStr">
        <is>
          <t>nb10_answer_eval.py</t>
        </is>
      </c>
      <c r="B89" s="10" t="inlineStr">
        <is>
          <t>핵심</t>
        </is>
      </c>
      <c r="C89" s="5" t="inlineStr">
        <is>
          <t>[4] 지표 계산 — 방식별 비교</t>
        </is>
      </c>
      <c r="D89" s="10" t="n">
        <v>62</v>
      </c>
      <c r="E89" s="5" t="inlineStr">
        <is>
          <t>lab_search.Embedder · lab_ragas.evaluate_answers · mean · auto.groupby</t>
        </is>
      </c>
      <c r="F89" s="5" t="inlineStr">
        <is>
          <t>emb · auto · num · by_mode</t>
        </is>
      </c>
      <c r="G89" s="5" t="inlineStr"/>
      <c r="H89" s="11" t="inlineStr"/>
      <c r="I89" s="12" t="inlineStr"/>
    </row>
    <row r="90">
      <c r="A90" s="5" t="inlineStr">
        <is>
          <t>nb10_answer_eval.py</t>
        </is>
      </c>
      <c r="B90" s="10" t="inlineStr">
        <is>
          <t>핵심</t>
        </is>
      </c>
      <c r="C90" s="5" t="inlineStr">
        <is>
          <t>[5] 합격 판정 — 기준 대비</t>
        </is>
      </c>
      <c r="D90" s="10" t="n">
        <v>72</v>
      </c>
      <c r="E90" s="5" t="inlineStr">
        <is>
          <t>pd.DataFrame</t>
        </is>
      </c>
      <c r="F90" s="5" t="inlineStr">
        <is>
          <t>THRESH · KO · TARGET · judge</t>
        </is>
      </c>
      <c r="G90" s="5" t="inlineStr"/>
      <c r="H90" s="11" t="inlineStr"/>
      <c r="I90" s="12" t="inlineStr"/>
    </row>
    <row r="91">
      <c r="A91" s="5" t="inlineStr">
        <is>
          <t>nb10_answer_eval.py</t>
        </is>
      </c>
      <c r="B91" s="10" t="inlineStr">
        <is>
          <t>핵심</t>
        </is>
      </c>
      <c r="C91" s="5" t="inlineStr">
        <is>
          <t>[6] 유형별 · 약한 문항 보기</t>
        </is>
      </c>
      <c r="D91" s="10" t="n">
        <v>86</v>
      </c>
      <c r="E91" s="5" t="inlineStr">
        <is>
          <t>pd.DataFrame · nsmallest · low.round · mean · d.qid.isin · groupby</t>
        </is>
      </c>
      <c r="F91" s="5" t="inlineStr">
        <is>
          <t>low · d</t>
        </is>
      </c>
      <c r="G91" s="5" t="inlineStr"/>
      <c r="H91" s="11" t="inlineStr"/>
      <c r="I91" s="12" t="inlineStr"/>
    </row>
    <row r="92">
      <c r="A92" s="5" t="inlineStr">
        <is>
          <t>nb10_answer_eval.py</t>
        </is>
      </c>
      <c r="B92" s="10" t="inlineStr">
        <is>
          <t>핵심</t>
        </is>
      </c>
      <c r="C92" s="5" t="inlineStr">
        <is>
          <t>[7] 저장</t>
        </is>
      </c>
      <c r="D92" s="10" t="n">
        <v>96</v>
      </c>
      <c r="E92" s="5" t="inlineStr">
        <is>
          <t>lab_io.save · by_mode.reset_index · drop · pd.DataFrame</t>
        </is>
      </c>
      <c r="F92" s="5" t="inlineStr"/>
      <c r="G92" s="5" t="inlineStr"/>
      <c r="H92" s="11" t="inlineStr"/>
      <c r="I92" s="12" t="inlineStr"/>
    </row>
    <row r="93">
      <c r="A93" s="15" t="inlineStr">
        <is>
          <t>nb11_evidence_link.py</t>
        </is>
      </c>
      <c r="B93" s="14" t="inlineStr">
        <is>
          <t>선택</t>
        </is>
      </c>
      <c r="C93" s="15" t="inlineStr">
        <is>
          <t>[0] 준비 — 가장 먼저 실행</t>
        </is>
      </c>
      <c r="D93" s="14" t="n">
        <v>10</v>
      </c>
      <c r="E93" s="15" t="inlineStr"/>
      <c r="F93" s="15" t="inlineStr">
        <is>
          <t>LAB</t>
        </is>
      </c>
      <c r="G93" s="15" t="inlineStr">
        <is>
          <t>기입 엑셀: archive/inside/golden_eval_pack_rev4.xlsx → [2d_근거문서_연결] [2e_원본_수집목록]</t>
        </is>
      </c>
      <c r="H93" s="14" t="inlineStr"/>
      <c r="I93" s="15" t="inlineStr"/>
    </row>
    <row r="94">
      <c r="A94" s="5" t="inlineStr">
        <is>
          <t>nb11_evidence_link.py</t>
        </is>
      </c>
      <c r="B94" s="10" t="inlineStr">
        <is>
          <t>선택</t>
        </is>
      </c>
      <c r="C94" s="5" t="inlineStr">
        <is>
          <t>[1] 질문 은행 — 사외 정보 기반 60문항 (근거 문서 미연결 상태)</t>
        </is>
      </c>
      <c r="D94" s="10" t="n">
        <v>28</v>
      </c>
      <c r="E94" s="5" t="inlineStr">
        <is>
          <t>lab_io.read_table · bank.head</t>
        </is>
      </c>
      <c r="F94" s="5" t="inlineStr">
        <is>
          <t>bank</t>
        </is>
      </c>
      <c r="G94" s="5" t="inlineStr"/>
      <c r="H94" s="11" t="inlineStr"/>
      <c r="I94" s="12" t="inlineStr"/>
    </row>
    <row r="95">
      <c r="A95" s="5" t="inlineStr">
        <is>
          <t>nb11_evidence_link.py</t>
        </is>
      </c>
      <c r="B95" s="10" t="inlineStr">
        <is>
          <t>선택</t>
        </is>
      </c>
      <c r="C95" s="5" t="inlineStr">
        <is>
          <t>[2] 코퍼스에서 근거 후보 검색 — 질문당 상위 K 후보</t>
        </is>
      </c>
      <c r="D95" s="10" t="n">
        <v>33</v>
      </c>
      <c r="E95" s="5" t="inlineStr">
        <is>
          <t>set_index · lab_search.Retriever · lab_autoeval.link_evidence · lab_io.save · ret.search · bank.head</t>
        </is>
      </c>
      <c r="F95" s="5" t="inlineStr">
        <is>
          <t>K · corpus · meta · ret · search_fn · linked</t>
        </is>
      </c>
      <c r="G95" s="5" t="inlineStr"/>
      <c r="H95" s="11" t="inlineStr"/>
      <c r="I95" s="12" t="inlineStr"/>
    </row>
    <row r="96">
      <c r="A96" s="5" t="inlineStr">
        <is>
          <t>nb11_evidence_link.py</t>
        </is>
      </c>
      <c r="B96" s="10" t="inlineStr">
        <is>
          <t>선택</t>
        </is>
      </c>
      <c r="C96" s="5" t="inlineStr">
        <is>
          <t>[3] 확정 파일 읽기 → 골든셋 · 근거 확보율</t>
        </is>
      </c>
      <c r="D96" s="10" t="n">
        <v>45</v>
      </c>
      <c r="E96" s="5" t="inlineStr">
        <is>
          <t>link_path.replace · lab_io.read_table · lab_autoeval.apply_evidence · lab_autoeval.coverage_report · golden.to_csv · pd.DataFrame</t>
        </is>
      </c>
      <c r="F96" s="5" t="inlineStr">
        <is>
          <t>LINKED · done · rep</t>
        </is>
      </c>
      <c r="G96" s="5" t="inlineStr"/>
      <c r="H96" s="11" t="inlineStr"/>
      <c r="I96" s="12" t="inlineStr"/>
    </row>
    <row r="97">
      <c r="A97" s="5" t="inlineStr">
        <is>
          <t>nb11_evidence_link.py</t>
        </is>
      </c>
      <c r="B97" s="10" t="inlineStr">
        <is>
          <t>선택</t>
        </is>
      </c>
      <c r="C97" s="5" t="inlineStr">
        <is>
          <t>[4] 수집 공백 목록 — 문서 없음 문항 (검색 성능과 무관)</t>
        </is>
      </c>
      <c r="D97" s="10" t="n">
        <v>60</v>
      </c>
      <c r="E97" s="5" t="inlineStr">
        <is>
          <t>merge · lab_io.save · gap.head</t>
        </is>
      </c>
      <c r="F97" s="5" t="inlineStr">
        <is>
          <t>gap</t>
        </is>
      </c>
      <c r="G97" s="5" t="inlineStr"/>
      <c r="H97" s="11" t="inlineStr"/>
      <c r="I97" s="12" t="inlineStr"/>
    </row>
    <row r="98">
      <c r="A98" s="5" t="inlineStr">
        <is>
          <t>nb11_evidence_link.py</t>
        </is>
      </c>
      <c r="B98" s="10" t="inlineStr">
        <is>
          <t>선택</t>
        </is>
      </c>
      <c r="C98" s="5" t="inlineStr">
        <is>
          <t>[5] 평가 — 근거 확보 문항만 대상</t>
        </is>
      </c>
      <c r="D98" s="10" t="n">
        <v>67</v>
      </c>
      <c r="E98" s="5" t="inlineStr">
        <is>
          <t>lab_eval.evaluate · lab_io.save · golden.fillna · ret.search</t>
        </is>
      </c>
      <c r="F98" s="5" t="inlineStr"/>
      <c r="G98" s="5" t="inlineStr"/>
      <c r="H98" s="11" t="inlineStr"/>
      <c r="I98" s="12" t="inlineStr"/>
    </row>
    <row r="99">
      <c r="A99" s="24" t="inlineStr">
        <is>
          <t>nb12_golden_llm.py</t>
        </is>
      </c>
      <c r="B99" s="25" t="inlineStr">
        <is>
          <t>핵심</t>
        </is>
      </c>
      <c r="C99" s="24" t="inlineStr">
        <is>
          <t>[0] 준비 — 가장 먼저 실행</t>
        </is>
      </c>
      <c r="D99" s="25" t="n">
        <v>10</v>
      </c>
      <c r="E99" s="24" t="inlineStr"/>
      <c r="F99" s="24" t="inlineStr">
        <is>
          <t>USE_LLM · LAB</t>
        </is>
      </c>
      <c r="G99" s="24" t="inlineStr">
        <is>
          <t>기입 엑셀: archive/inside/golden_eval_pack_rev4.xlsx → [1b_LLM골든셋_검수]</t>
        </is>
      </c>
      <c r="H99" s="25" t="inlineStr"/>
      <c r="I99" s="24" t="inlineStr"/>
    </row>
    <row r="100">
      <c r="A100" s="5" t="inlineStr">
        <is>
          <t>nb12_golden_llm.py</t>
        </is>
      </c>
      <c r="B100" s="10" t="inlineStr">
        <is>
          <t>핵심</t>
        </is>
      </c>
      <c r="C100" s="5" t="inlineStr">
        <is>
          <t>[1] 표본 추출 — 소스 유형별 균형 (수치 포함 청크 우선)</t>
        </is>
      </c>
      <c r="D100" s="10" t="n">
        <v>30</v>
      </c>
      <c r="E100" s="5" t="inlineStr">
        <is>
          <t>lab_io.load_raw · dropna · lab_golden_llm.sample_chunks · lab_io.load_chunks · size · sampled.groupby</t>
        </is>
      </c>
      <c r="F100" s="5" t="inlineStr">
        <is>
          <t>raw · chunks · sampled</t>
        </is>
      </c>
      <c r="G100" s="5" t="inlineStr"/>
      <c r="H100" s="11" t="inlineStr"/>
      <c r="I100" s="12" t="inlineStr"/>
    </row>
    <row r="101">
      <c r="A101" s="5" t="inlineStr">
        <is>
          <t>nb12_golden_llm.py</t>
        </is>
      </c>
      <c r="B101" s="10" t="inlineStr">
        <is>
          <t>핵심</t>
        </is>
      </c>
      <c r="C101" s="5" t="inlineStr">
        <is>
          <t>[2] 생성 — 청크 → 질문 · 정답 · 근거 문장 (JSON)</t>
        </is>
      </c>
      <c r="D101" s="10" t="n">
        <v>37</v>
      </c>
      <c r="E101" s="5" t="inlineStr">
        <is>
          <t>lab_golden_llm.generate · gen.head</t>
        </is>
      </c>
      <c r="F101" s="5" t="inlineStr">
        <is>
          <t>N · gen</t>
        </is>
      </c>
      <c r="G101" s="5" t="inlineStr"/>
      <c r="H101" s="11" t="inlineStr"/>
      <c r="I101" s="12" t="inlineStr"/>
    </row>
    <row r="102">
      <c r="A102" s="5" t="inlineStr">
        <is>
          <t>nb12_golden_llm.py</t>
        </is>
      </c>
      <c r="B102" s="10" t="inlineStr">
        <is>
          <t>핵심</t>
        </is>
      </c>
      <c r="C102" s="5" t="inlineStr">
        <is>
          <t>[3] 자가 검증 — 근거 실재 · 복붙 · 지시어 · 회수 가능 여부</t>
        </is>
      </c>
      <c r="D102" s="10" t="n">
        <v>43</v>
      </c>
      <c r="E102" s="5" t="inlineStr">
        <is>
          <t>lab_search.Retriever · lab_golden_llm.self_check · lab_golden_llm.apply_check · chunks.reset_index · size · chk.groupby</t>
        </is>
      </c>
      <c r="F102" s="5" t="inlineStr">
        <is>
          <t>ret · chk · gen</t>
        </is>
      </c>
      <c r="G102" s="5" t="inlineStr"/>
      <c r="H102" s="11" t="inlineStr"/>
      <c r="I102" s="12" t="inlineStr"/>
    </row>
    <row r="103">
      <c r="A103" s="5" t="inlineStr">
        <is>
          <t>nb12_golden_llm.py</t>
        </is>
      </c>
      <c r="B103" s="10" t="inlineStr">
        <is>
          <t>핵심</t>
        </is>
      </c>
      <c r="C103" s="5" t="inlineStr">
        <is>
          <t>[4] 답없음 문항 추가 — 거절 정확도 측정용</t>
        </is>
      </c>
      <c r="D103" s="10" t="n">
        <v>51</v>
      </c>
      <c r="E103" s="5" t="inlineStr">
        <is>
          <t>lab_golden_llm.make_unanswerable · pd.concat</t>
        </is>
      </c>
      <c r="F103" s="5" t="inlineStr">
        <is>
          <t>noans · gold</t>
        </is>
      </c>
      <c r="G103" s="5" t="inlineStr"/>
      <c r="H103" s="11" t="inlineStr"/>
      <c r="I103" s="12" t="inlineStr"/>
    </row>
    <row r="104">
      <c r="A104" s="5" t="inlineStr">
        <is>
          <t>nb12_golden_llm.py</t>
        </is>
      </c>
      <c r="B104" s="10" t="inlineStr">
        <is>
          <t>핵심</t>
        </is>
      </c>
      <c r="C104" s="5" t="inlineStr">
        <is>
          <t>[5] 유형 배분 점검 — 한쪽 쏠림이면 지표가 왜곡된다</t>
        </is>
      </c>
      <c r="D104" s="10" t="n">
        <v>56</v>
      </c>
      <c r="E104" s="5" t="inlineStr">
        <is>
          <t>lab_golden_llm.mix_report</t>
        </is>
      </c>
      <c r="F104" s="5" t="inlineStr">
        <is>
          <t>mix</t>
        </is>
      </c>
      <c r="G104" s="5" t="inlineStr"/>
      <c r="H104" s="11" t="inlineStr"/>
      <c r="I104" s="12" t="inlineStr"/>
    </row>
    <row r="105">
      <c r="A105" s="5" t="inlineStr">
        <is>
          <t>nb12_golden_llm.py</t>
        </is>
      </c>
      <c r="B105" s="10" t="inlineStr">
        <is>
          <t>핵심</t>
        </is>
      </c>
      <c r="C105" s="5" t="inlineStr">
        <is>
          <t>[6] 검수 시트 저장 → 이력 엑셀 `2_골든셋_검수` 에 붙여넣기</t>
        </is>
      </c>
      <c r="D105" s="10" t="n">
        <v>60</v>
      </c>
      <c r="E105" s="5" t="inlineStr">
        <is>
          <t>lab_golden_llm.to_review · lab_io.save</t>
        </is>
      </c>
      <c r="F105" s="5" t="inlineStr">
        <is>
          <t>review</t>
        </is>
      </c>
      <c r="G105" s="5" t="inlineStr"/>
      <c r="H105" s="11" t="inlineStr"/>
      <c r="I105" s="12" t="inlineStr"/>
    </row>
    <row r="106">
      <c r="A106" s="5" t="inlineStr">
        <is>
          <t>nb12_golden_llm.py</t>
        </is>
      </c>
      <c r="B106" s="10" t="inlineStr">
        <is>
          <t>핵심</t>
        </is>
      </c>
      <c r="C106" s="5" t="inlineStr">
        <is>
          <t>[7] 검수 완료 파일 → 확정 골든셋</t>
        </is>
      </c>
      <c r="D106" s="10" t="n">
        <v>66</v>
      </c>
      <c r="E106" s="5" t="inlineStr">
        <is>
          <t>lab_golden_llm.finalize · final.to_csv · pd.DataFrame · lab_io.read_table · size · final.groupby</t>
        </is>
      </c>
      <c r="F106" s="5" t="inlineStr">
        <is>
          <t>REVIEWED · final</t>
        </is>
      </c>
      <c r="G106" s="5" t="inlineStr"/>
      <c r="H106" s="11" t="inlineStr"/>
      <c r="I106" s="12" t="inlineStr"/>
    </row>
    <row r="107">
      <c r="A107" s="5" t="inlineStr">
        <is>
          <t>nb12_golden_llm.py</t>
        </is>
      </c>
      <c r="B107" s="10" t="inlineStr">
        <is>
          <t>핵심</t>
        </is>
      </c>
      <c r="C107" s="5" t="inlineStr">
        <is>
          <t>[8] 다음 단계</t>
        </is>
      </c>
      <c r="D107" s="10" t="n">
        <v>77</v>
      </c>
      <c r="E107" s="5" t="inlineStr"/>
      <c r="F107" s="5" t="inlineStr"/>
      <c r="G107" s="5" t="inlineStr"/>
      <c r="H107" s="11" t="inlineStr"/>
      <c r="I107" s="12" t="inlineStr"/>
    </row>
    <row r="108">
      <c r="A108" s="24" t="inlineStr">
        <is>
          <t>nb13_langgraph_rag.py</t>
        </is>
      </c>
      <c r="B108" s="25" t="inlineStr">
        <is>
          <t>핵심</t>
        </is>
      </c>
      <c r="C108" s="24" t="inlineStr">
        <is>
          <t>[0] 준비 — 가장 먼저 실행</t>
        </is>
      </c>
      <c r="D108" s="25" t="n">
        <v>10</v>
      </c>
      <c r="E108" s="24" t="inlineStr"/>
      <c r="F108" s="24" t="inlineStr">
        <is>
          <t>LAB · LG</t>
        </is>
      </c>
      <c r="G108" s="24" t="inlineStr">
        <is>
          <t>기입 엑셀: archive/inside/rag_project_log_rev1.xlsx → [5_실험이력] [6_프리셋비교]</t>
        </is>
      </c>
      <c r="H108" s="25" t="inlineStr"/>
      <c r="I108" s="24" t="inlineStr"/>
    </row>
    <row r="109">
      <c r="A109" s="5" t="inlineStr">
        <is>
          <t>nb13_langgraph_rag.py</t>
        </is>
      </c>
      <c r="B109" s="10" t="inlineStr">
        <is>
          <t>핵심</t>
        </is>
      </c>
      <c r="C109" s="5" t="inlineStr">
        <is>
          <t>[1] 프리셋 — 실험 설계서 (노드를 하나씩 켜며 측정)</t>
        </is>
      </c>
      <c r="D109" s="10" t="n">
        <v>32</v>
      </c>
      <c r="E109" s="5" t="inlineStr">
        <is>
          <t>pd.DataFrame</t>
        </is>
      </c>
      <c r="F109" s="5" t="inlineStr"/>
      <c r="G109" s="5" t="inlineStr"/>
      <c r="H109" s="11" t="inlineStr"/>
      <c r="I109" s="12" t="inlineStr"/>
    </row>
    <row r="110">
      <c r="A110" s="5" t="inlineStr">
        <is>
          <t>nb13_langgraph_rag.py</t>
        </is>
      </c>
      <c r="B110" s="10" t="inlineStr">
        <is>
          <t>핵심</t>
        </is>
      </c>
      <c r="C110" s="5" t="inlineStr">
        <is>
          <t>[2] 검색기 · 그래프 준비</t>
        </is>
      </c>
      <c r="D110" s="10" t="n">
        <v>35</v>
      </c>
      <c r="E110" s="5" t="inlineStr">
        <is>
          <t>set_index · lab_search.Retriever · lab_graph.cfg · lab_graph.build_langgraph · dropna · lab_io.load_raw</t>
        </is>
      </c>
      <c r="F110" s="5" t="inlineStr">
        <is>
          <t>corpus · meta · ret · conf · app</t>
        </is>
      </c>
      <c r="G110" s="5" t="inlineStr"/>
      <c r="H110" s="11" t="inlineStr"/>
      <c r="I110" s="12" t="inlineStr"/>
    </row>
    <row r="111">
      <c r="A111" s="5" t="inlineStr">
        <is>
          <t>nb13_langgraph_rag.py</t>
        </is>
      </c>
      <c r="B111" s="10" t="inlineStr">
        <is>
          <t>핵심</t>
        </is>
      </c>
      <c r="C111" s="5" t="inlineStr">
        <is>
          <t>[3] 질문 1건 — 노드별 실행 추적</t>
        </is>
      </c>
      <c r="D111" s="10" t="n">
        <v>44</v>
      </c>
      <c r="E111" s="5" t="inlineStr">
        <is>
          <t>lab_graph.run_graph · lab_graph.trace_table</t>
        </is>
      </c>
      <c r="F111" s="5" t="inlineStr">
        <is>
          <t>Q · st · tr</t>
        </is>
      </c>
      <c r="G111" s="5" t="inlineStr"/>
      <c r="H111" s="11" t="inlineStr"/>
      <c r="I111" s="12" t="inlineStr"/>
    </row>
    <row r="112">
      <c r="A112" s="5" t="inlineStr">
        <is>
          <t>nb13_langgraph_rag.py</t>
        </is>
      </c>
      <c r="B112" s="10" t="inlineStr">
        <is>
          <t>핵심</t>
        </is>
      </c>
      <c r="C112" s="5" t="inlineStr">
        <is>
          <t>[4] 평가 질문 적재 — 골든셋(근거 확보분) 우선</t>
        </is>
      </c>
      <c r="D112" s="10" t="n">
        <v>53</v>
      </c>
      <c r="E112" s="5" t="inlineStr">
        <is>
          <t>os.path.basename · lab_io.read_table · gold.qid.astype · gold.question.astype</t>
        </is>
      </c>
      <c r="F112" s="5" t="inlineStr">
        <is>
          <t>GSRC · gold · qs</t>
        </is>
      </c>
      <c r="G112" s="5" t="inlineStr"/>
      <c r="H112" s="11" t="inlineStr"/>
      <c r="I112" s="12" t="inlineStr"/>
    </row>
    <row r="113">
      <c r="A113" s="5" t="inlineStr">
        <is>
          <t>nb13_langgraph_rag.py</t>
        </is>
      </c>
      <c r="B113" s="10" t="inlineStr">
        <is>
          <t>핵심</t>
        </is>
      </c>
      <c r="C113" s="5" t="inlineStr">
        <is>
          <t>[5] 프리셋 비교 — 노드를 켤 때마다 지표가 어떻게 변하는가</t>
        </is>
      </c>
      <c r="D113" s="10" t="n">
        <v>60</v>
      </c>
      <c r="E113" s="5" t="inlineStr">
        <is>
          <t>lab_search.Embedder · lab_graph.compare</t>
        </is>
      </c>
      <c r="F113" s="5" t="inlineStr">
        <is>
          <t>emb · PRESETS</t>
        </is>
      </c>
      <c r="G113" s="5" t="inlineStr"/>
      <c r="H113" s="11" t="inlineStr"/>
      <c r="I113" s="12" t="inlineStr"/>
    </row>
    <row r="114">
      <c r="A114" s="5" t="inlineStr">
        <is>
          <t>nb13_langgraph_rag.py</t>
        </is>
      </c>
      <c r="B114" s="10" t="inlineStr">
        <is>
          <t>핵심</t>
        </is>
      </c>
      <c r="C114" s="5" t="inlineStr">
        <is>
          <t>[6] 증감 — 개선 정량화 (기준 = v0_baseline)</t>
        </is>
      </c>
      <c r="D114" s="10" t="n">
        <v>66</v>
      </c>
      <c r="E114" s="5" t="inlineStr">
        <is>
          <t>lab_graph.delta</t>
        </is>
      </c>
      <c r="F114" s="5" t="inlineStr">
        <is>
          <t>dlt</t>
        </is>
      </c>
      <c r="G114" s="5" t="inlineStr"/>
      <c r="H114" s="11" t="inlineStr"/>
      <c r="I114" s="12" t="inlineStr"/>
    </row>
    <row r="115">
      <c r="A115" s="5" t="inlineStr">
        <is>
          <t>nb13_langgraph_rag.py</t>
        </is>
      </c>
      <c r="B115" s="10" t="inlineStr">
        <is>
          <t>핵심</t>
        </is>
      </c>
      <c r="C115" s="5" t="inlineStr">
        <is>
          <t>[7] 프리셋별 문항 결과 — 퇴행 문항 추적</t>
        </is>
      </c>
      <c r="D115" s="10" t="n">
        <v>71</v>
      </c>
      <c r="E115" s="5" t="inlineStr">
        <is>
          <t>detail.pivot_table · piv.round</t>
        </is>
      </c>
      <c r="F115" s="5" t="inlineStr">
        <is>
          <t>M · piv</t>
        </is>
      </c>
      <c r="G115" s="5" t="inlineStr"/>
      <c r="H115" s="11" t="inlineStr"/>
      <c r="I115" s="12" t="inlineStr"/>
    </row>
    <row r="116">
      <c r="A116" s="5" t="inlineStr">
        <is>
          <t>nb13_langgraph_rag.py</t>
        </is>
      </c>
      <c r="B116" s="10" t="inlineStr">
        <is>
          <t>핵심</t>
        </is>
      </c>
      <c r="C116" s="5" t="inlineStr">
        <is>
          <t>[8] 저장 — 이력 엑셀 `5_실험이력` · `6_프리셋비교` 에 붙여넣기</t>
        </is>
      </c>
      <c r="D116" s="10" t="n">
        <v>80</v>
      </c>
      <c r="E116" s="5" t="inlineStr">
        <is>
          <t>lab_io.save · detail.drop</t>
        </is>
      </c>
      <c r="F116" s="5" t="inlineStr"/>
      <c r="G116" s="5" t="inlineStr"/>
      <c r="H116" s="11" t="inlineStr"/>
      <c r="I116" s="12" t="inlineStr"/>
    </row>
    <row r="118">
      <c r="A118" s="16" t="inlineStr">
        <is>
          <t>집계</t>
        </is>
      </c>
    </row>
    <row r="119">
      <c r="A119" s="17" t="inlineStr">
        <is>
          <t>전체 셀</t>
        </is>
      </c>
      <c r="B119" s="18">
        <f>COUNTIF(C5:C116,"&lt;&gt;")</f>
        <v>112</v>
      </c>
    </row>
    <row r="120">
      <c r="A120" s="17" t="inlineStr">
        <is>
          <t>확인 완료</t>
        </is>
      </c>
      <c r="B120" s="18">
        <f>COUNTIF(H5:H116,"확인")</f>
        <v>0</v>
      </c>
    </row>
    <row r="121">
      <c r="A121" s="17" t="inlineStr">
        <is>
          <t>진행률</t>
        </is>
      </c>
      <c r="B121" s="19">
        <f>IFERROR(COUNTIF(H5:H116,"확인")/COUNTIF(C5:C116,"&lt;&gt;"),"")</f>
        <v>0.0</v>
      </c>
    </row>
  </sheetData>
  <mergeCells count="2">
    <mergeCell ref="A1:I1"/>
    <mergeCell ref="A2:I2"/>
  </mergeCells>
  <conditionalFormatting sqref="H5:H116">
    <cfRule type="cellIs" priority="1" operator="equal" dxfId="0">
      <formula>"확인"</formula>
    </cfRule>
    <cfRule type="cellIs" priority="2" operator="equal" dxfId="1">
      <formula>"질문 있음"</formula>
    </cfRule>
  </conditionalFormatting>
  <dataValidations count="1">
    <dataValidation sqref="H5:H116" showDropDown="0" showInputMessage="0" showErrorMessage="0" allowBlank="1" type="list">
      <formula1>"확인,보류,질문 있음"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2026-09-25T13:00:38Z</dcterms:created>
  <dcterms:modified xmlns:dcterms="http://purl.org/dc/terms/" xmlns:xsi="http://www.w3.org/2001/XMLSchema-instance" xsi:type="dcterms:W3CDTF">2026-09-25T13:00:38Z</dcterms:modified>
</cp:coreProperties>
</file>