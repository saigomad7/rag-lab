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요약" sheetId="2" state="visible" r:id="rId2"/>
    <sheet xmlns:r="http://schemas.openxmlformats.org/officeDocument/2006/relationships" name="소스별_매트릭스" sheetId="3" state="visible" r:id="rId3"/>
    <sheet xmlns:r="http://schemas.openxmlformats.org/officeDocument/2006/relationships" name="소스별_상세" sheetId="4" state="visible" r:id="rId4"/>
    <sheet xmlns:r="http://schemas.openxmlformats.org/officeDocument/2006/relationships" name="소스별_컬럼정의" sheetId="5" state="visible" r:id="rId5"/>
    <sheet xmlns:r="http://schemas.openxmlformats.org/officeDocument/2006/relationships" name="처리흐름_도식" sheetId="6" state="visible" r:id="rId6"/>
    <sheet xmlns:r="http://schemas.openxmlformats.org/officeDocument/2006/relationships" name="처리흐름_판단기준" sheetId="7" state="visible" r:id="rId7"/>
    <sheet xmlns:r="http://schemas.openxmlformats.org/officeDocument/2006/relationships" name="P1_적재공통" sheetId="8" state="visible" r:id="rId8"/>
    <sheet xmlns:r="http://schemas.openxmlformats.org/officeDocument/2006/relationships" name="P1_검색" sheetId="9" state="visible" r:id="rId9"/>
    <sheet xmlns:r="http://schemas.openxmlformats.org/officeDocument/2006/relationships" name="P2_센싱" sheetId="10" state="visible" r:id="rId10"/>
    <sheet xmlns:r="http://schemas.openxmlformats.org/officeDocument/2006/relationships" name="P3_정형연계" sheetId="11" state="visible" r:id="rId11"/>
    <sheet xmlns:r="http://schemas.openxmlformats.org/officeDocument/2006/relationships" name="정형연계_패턴" sheetId="12" state="visible" r:id="rId12"/>
    <sheet xmlns:r="http://schemas.openxmlformats.org/officeDocument/2006/relationships" name="스모크20" sheetId="13" state="visible" r:id="rId13"/>
  </sheets>
  <definedNames>
    <definedName name="_xlnm._FilterDatabase" localSheetId="2" hidden="1">'소스별_매트릭스'!$A$4:$J$13</definedName>
    <definedName name="_xlnm._FilterDatabase" localSheetId="3" hidden="1">'소스별_상세'!$A$4:$L$49</definedName>
    <definedName name="_xlnm._FilterDatabase" localSheetId="4" hidden="1">'소스별_컬럼정의'!$A$4:$K$95</definedName>
    <definedName name="_xlnm._FilterDatabase" localSheetId="6" hidden="1">'처리흐름_판단기준'!$A$4:$G$48</definedName>
    <definedName name="_xlnm._FilterDatabase" localSheetId="7" hidden="1">'P1_적재공통'!$A$4:$I$21</definedName>
    <definedName name="_xlnm._FilterDatabase" localSheetId="8" hidden="1">'P1_검색'!$A$4:$I$27</definedName>
    <definedName name="_xlnm._FilterDatabase" localSheetId="9" hidden="1">'P2_센싱'!$A$4:$I$17</definedName>
    <definedName name="_xlnm._FilterDatabase" localSheetId="10" hidden="1">'P3_정형연계'!$A$4:$I$37</definedName>
    <definedName name="_xlnm._FilterDatabase" localSheetId="12" hidden="1">'스모크20'!$A$4:$G$24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맑은 고딕"/>
      <b val="1"/>
      <color rgb="00185463"/>
      <sz val="14"/>
    </font>
    <font>
      <name val="맑은 고딕"/>
      <color rgb="006B6B6B"/>
      <sz val="9"/>
    </font>
    <font>
      <name val="맑은 고딕"/>
      <b val="1"/>
      <sz val="10"/>
    </font>
    <font>
      <name val="맑은 고딕"/>
      <sz val="10"/>
    </font>
    <font>
      <name val="맑은 고딕"/>
      <b val="1"/>
      <color rgb="00185463"/>
      <sz val="10"/>
    </font>
    <font>
      <name val="맑은 고딕"/>
      <color rgb="00A6A6A6"/>
      <sz val="8"/>
    </font>
    <font>
      <name val="맑은 고딕"/>
      <color rgb="001F4E79"/>
      <sz val="10"/>
    </font>
    <font>
      <name val="맑은 고딕"/>
      <b val="1"/>
      <color rgb="00185463"/>
      <sz val="11"/>
    </font>
    <font>
      <name val="맑은 고딕"/>
      <color rgb="008C8C8C"/>
      <sz val="12"/>
    </font>
    <font>
      <name val="맑은 고딕"/>
      <b val="1"/>
      <color rgb="006B6B6B"/>
      <sz val="8"/>
    </font>
    <font>
      <name val="Consolas"/>
      <color rgb="00D2E0E2"/>
      <sz val="9"/>
    </font>
    <font>
      <name val="Consolas"/>
      <b val="1"/>
      <color rgb="001F4E79"/>
      <sz val="10"/>
    </font>
    <font>
      <name val="Consolas"/>
      <sz val="9"/>
    </font>
    <font>
      <name val="맑은 고딕"/>
      <color rgb="00000000"/>
      <sz val="10"/>
    </font>
    <font>
      <name val="맑은 고딕"/>
      <color rgb="00808080"/>
      <sz val="10"/>
    </font>
  </fonts>
  <fills count="11">
    <fill>
      <patternFill/>
    </fill>
    <fill>
      <patternFill patternType="gray125"/>
    </fill>
    <fill>
      <patternFill patternType="solid">
        <fgColor rgb="00E7EDEE"/>
        <bgColor rgb="00E7EDEE"/>
      </patternFill>
    </fill>
    <fill>
      <patternFill patternType="solid">
        <fgColor rgb="00FFFDE7"/>
        <bgColor rgb="00FFFDE7"/>
      </patternFill>
    </fill>
    <fill>
      <patternFill patternType="solid">
        <fgColor rgb="00F7FAFA"/>
        <bgColor rgb="00F7FAFA"/>
      </patternFill>
    </fill>
    <fill>
      <patternFill patternType="solid">
        <fgColor rgb="00F2F2F2"/>
        <bgColor rgb="00F2F2F2"/>
      </patternFill>
    </fill>
    <fill>
      <patternFill patternType="solid">
        <fgColor rgb="00DAEAED"/>
        <bgColor rgb="00DAEAED"/>
      </patternFill>
    </fill>
    <fill>
      <patternFill patternType="solid">
        <fgColor rgb="00F8E1E1"/>
        <bgColor rgb="00F8E1E1"/>
      </patternFill>
    </fill>
    <fill>
      <patternFill patternType="solid">
        <fgColor rgb="00E2F0D9"/>
        <bgColor rgb="00E2F0D9"/>
      </patternFill>
    </fill>
    <fill>
      <patternFill patternType="solid">
        <fgColor rgb="000F2A31"/>
        <bgColor rgb="000F2A31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vertical="center"/>
    </xf>
    <xf numFmtId="9" fontId="14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vertical="center"/>
    </xf>
    <xf numFmtId="9" fontId="3" fillId="2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4" fillId="0" borderId="1" pivotButton="0" quotePrefix="0" xfId="0"/>
    <xf numFmtId="0" fontId="15" fillId="0" borderId="0" pivotButton="0" quotePrefix="0" xfId="0"/>
    <xf numFmtId="0" fontId="5" fillId="0" borderId="1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12" fillId="0" borderId="1" applyAlignment="1" pivotButton="0" quotePrefix="0" xfId="0">
      <alignment vertical="top" wrapText="1"/>
    </xf>
    <xf numFmtId="0" fontId="1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3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4" fillId="5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9" borderId="0" applyAlignment="1" pivotButton="0" quotePrefix="0" xfId="0">
      <alignment vertical="top" wrapText="1"/>
    </xf>
    <xf numFmtId="0" fontId="4" fillId="1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9">
    <dxf>
      <fill>
        <patternFill patternType="solid">
          <fgColor rgb="00E2F0D9"/>
          <bgColor rgb="00E2F0D9"/>
        </patternFill>
      </fill>
    </dxf>
    <dxf>
      <fill>
        <patternFill patternType="solid">
          <fgColor rgb="00FFF2CC"/>
          <bgColor rgb="00FFF2CC"/>
        </patternFill>
      </fill>
    </dxf>
    <dxf>
      <font>
        <name val="맑은 고딕"/>
        <b val="1"/>
        <color rgb="00375623"/>
      </font>
      <fill>
        <patternFill patternType="solid">
          <fgColor rgb="00E2F0D9"/>
          <bgColor rgb="00E2F0D9"/>
        </patternFill>
      </fill>
    </dxf>
    <dxf>
      <font>
        <name val="맑은 고딕"/>
        <b val="1"/>
        <color rgb="007F6000"/>
      </font>
      <fill>
        <patternFill patternType="solid">
          <fgColor rgb="00FFF2CC"/>
          <bgColor rgb="00FFF2CC"/>
        </patternFill>
      </fill>
    </dxf>
    <dxf>
      <font>
        <name val="맑은 고딕"/>
        <color rgb="00808080"/>
      </font>
      <fill>
        <patternFill patternType="solid">
          <fgColor rgb="00EDEDED"/>
          <bgColor rgb="00EDEDED"/>
        </patternFill>
      </fill>
    </dxf>
    <dxf>
      <font>
        <name val="맑은 고딕"/>
        <b val="1"/>
        <color rgb="00C00000"/>
      </font>
    </dxf>
    <dxf>
      <font>
        <name val="맑은 고딕"/>
        <b val="1"/>
        <color rgb="00B26B00"/>
      </font>
    </dxf>
    <dxf>
      <font>
        <name val="맑은 고딕"/>
        <b val="1"/>
        <color rgb="00808080"/>
      </font>
    </dxf>
    <dxf>
      <fill>
        <patternFill patternType="solid">
          <fgColor rgb="00F8E1E1"/>
          <bgColor rgb="00F8E1E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RAG 단계별 체크리스트 (엑셀판) rev.5</t>
        </is>
      </c>
    </row>
    <row r="2">
      <c r="A2" s="2" t="inlineStr">
        <is>
          <t>2026-09-21 · rag_checklist_sheet_rev5.html 과 같은 내용 · 소스별 컬럼 정의서 포함 · 사내 확인용</t>
        </is>
      </c>
    </row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이 파일</t>
        </is>
      </c>
      <c r="B5" s="5" t="inlineStr">
        <is>
          <t>HTML 간소화 시트 rev3의 엑셀판. 사내에서 직접 고치며 쓰는 용도</t>
        </is>
      </c>
    </row>
    <row r="6">
      <c r="A6" s="4" t="inlineStr">
        <is>
          <t>입력하는 칸</t>
        </is>
      </c>
      <c r="B6" s="6" t="inlineStr">
        <is>
          <t>연노랑 칸만 입력: 현 수준 · 상태(드롭다운) · 메모 · 문서 수 · 스모크 판정</t>
        </is>
      </c>
    </row>
    <row r="7">
      <c r="A7" s="4" t="inlineStr">
        <is>
          <t>상태 값</t>
        </is>
      </c>
      <c r="B7" s="5" t="inlineStr">
        <is>
          <t>미확인 / 확인중 / 완료 / 해당없음 — 드롭다운에서 선택하면 색이 자동으로 바뀜</t>
        </is>
      </c>
    </row>
    <row r="8">
      <c r="A8" s="4" t="inlineStr">
        <is>
          <t>자동 계산</t>
        </is>
      </c>
      <c r="B8" s="5" t="inlineStr">
        <is>
          <t>요약 시트와 소스별 매트릭스는 수식. 상세 시트의 상태를 바꾸면 자동 갱신 (직접 입력하지 않음)</t>
        </is>
      </c>
    </row>
    <row r="9">
      <c r="A9" s="4" t="inlineStr">
        <is>
          <t>입력 예시</t>
        </is>
      </c>
      <c r="B9" s="5" t="inlineStr">
        <is>
          <t>P1_적재공통 시트 S01 1행: 현 수준 = 'doc id 있음, 재수집 시 중복 체크 중', 상태 = 완료</t>
        </is>
      </c>
    </row>
    <row r="10">
      <c r="A10" s="4" t="inlineStr">
        <is>
          <t>우선순위</t>
        </is>
      </c>
      <c r="B10" s="5" t="inlineStr">
        <is>
          <t>P0 먼저 확인 · P1 다음 · P2 필요할 때</t>
        </is>
      </c>
    </row>
    <row r="11">
      <c r="A11" s="4" t="inlineStr">
        <is>
          <t>시트 순서</t>
        </is>
      </c>
      <c r="B11" s="5" t="inlineStr">
        <is>
          <t>요약 → 소스별_매트릭스 → 소스별_상세 → 처리흐름_도식 → 처리흐름_판단기준 → P1_적재공통 → P1_검색 → P2_센싱 → P3_정형연계 → 정형연계_패턴 → 스모크20</t>
        </is>
      </c>
    </row>
    <row r="12">
      <c r="A12" s="4" t="inlineStr">
        <is>
          <t>Phase 3</t>
        </is>
      </c>
      <c r="B12" s="5" t="inlineStr">
        <is>
          <t>정형 데이터 연계(S22~S29). 지표 정의서 양식은 metric_catalog_template_rev1.xlsx, 코드는 rag_lab/nb07_sql_router.py</t>
        </is>
      </c>
    </row>
    <row r="13">
      <c r="A13" s="4" t="inlineStr">
        <is>
          <t>소스별_컬럼정의</t>
        </is>
      </c>
      <c r="B13" s="5" t="inlineStr">
        <is>
          <t>소스 유형마다 있어야 할 컬럼(권장안). J·K 열(사내 보유 · 사내 컬럼명)을 채우면 사내 현황 매핑표가 된다</t>
        </is>
      </c>
    </row>
    <row r="14">
      <c r="A14" s="4" t="inlineStr">
        <is>
          <t>사용자 확인값 출처</t>
        </is>
      </c>
      <c r="B14" s="5" t="inlineStr">
        <is>
          <t>2026-09-19 대화: doc id 원천키 · 재수집 중복 체크 · 작성일/수집일 분리 · 날짜 95% 보유 · 6축 전부 사용</t>
        </is>
      </c>
    </row>
    <row r="15">
      <c r="A15" s="4" t="inlineStr">
        <is>
          <t>도식 색</t>
        </is>
      </c>
      <c r="B15" s="5" t="inlineStr">
        <is>
          <t>회색 = 입력 · 청록 = 핵심 처리 · 분홍 = 제거 · 흰색 = 일반 · 연두 = 청킹/메타 산출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0" customWidth="1" min="3" max="3"/>
    <col width="8" customWidth="1" min="4" max="4"/>
    <col width="8" customWidth="1" min="5" max="5"/>
    <col width="8" customWidth="1" min="6" max="6"/>
    <col width="8" customWidth="1" min="7" max="7"/>
    <col width="9" customWidth="1" min="8" max="8"/>
  </cols>
  <sheetData>
    <row r="1">
      <c r="A1" s="1" t="inlineStr">
        <is>
          <t>요약 — 단계별 · 소스별 진행 현황</t>
        </is>
      </c>
    </row>
    <row r="2">
      <c r="A2" s="2" t="inlineStr">
        <is>
          <t>전부 수식 · 각 시트의 상태 칸을 바꾸면 자동 갱신</t>
        </is>
      </c>
    </row>
    <row r="4">
      <c r="A4" s="3" t="inlineStr">
        <is>
          <t>구분</t>
        </is>
      </c>
      <c r="B4" s="3" t="inlineStr">
        <is>
          <t>코드</t>
        </is>
      </c>
      <c r="C4" s="3" t="inlineStr">
        <is>
          <t>이름</t>
        </is>
      </c>
      <c r="D4" s="3" t="inlineStr">
        <is>
          <t>항목</t>
        </is>
      </c>
      <c r="E4" s="3" t="inlineStr">
        <is>
          <t>완료</t>
        </is>
      </c>
      <c r="F4" s="3" t="inlineStr">
        <is>
          <t>확인중</t>
        </is>
      </c>
      <c r="G4" s="3" t="inlineStr">
        <is>
          <t>미확인</t>
        </is>
      </c>
      <c r="H4" s="3" t="inlineStr">
        <is>
          <t>완료율</t>
        </is>
      </c>
    </row>
    <row r="5">
      <c r="A5" s="7" t="inlineStr">
        <is>
          <t>P1 적재 공통</t>
        </is>
      </c>
      <c r="B5" s="8" t="inlineStr">
        <is>
          <t>S01</t>
        </is>
      </c>
      <c r="C5" s="9" t="inlineStr">
        <is>
          <t>수집</t>
        </is>
      </c>
      <c r="D5" s="8">
        <f>COUNTIF('P1_적재공통'!$A:$A,B5)</f>
        <v>3</v>
      </c>
      <c r="E5" s="8">
        <f>COUNTIFS('P1_적재공통'!$A:$A,B5,'P1_적재공통'!$H:$H,"완료")</f>
        <v>2</v>
      </c>
      <c r="F5" s="8">
        <f>COUNTIFS('P1_적재공통'!$A:$A,B5,'P1_적재공통'!$H:$H,"확인중")</f>
        <v>0</v>
      </c>
      <c r="G5" s="8">
        <f>D5-E5-F5-COUNTIFS('P1_적재공통'!$A:$A,B5,'P1_적재공통'!$H:$H,"해당없음")</f>
        <v>1</v>
      </c>
      <c r="H5" s="10">
        <f>IF(D5=0,0,E5/D5)</f>
        <v>0.6666666666666666</v>
      </c>
    </row>
    <row r="6">
      <c r="A6" s="7" t="inlineStr">
        <is>
          <t>P1 적재 공통</t>
        </is>
      </c>
      <c r="B6" s="8" t="inlineStr">
        <is>
          <t>S02</t>
        </is>
      </c>
      <c r="C6" s="9" t="inlineStr">
        <is>
          <t>파싱</t>
        </is>
      </c>
      <c r="D6" s="8">
        <f>COUNTIF('P1_적재공통'!$A:$A,B6)</f>
        <v>2</v>
      </c>
      <c r="E6" s="8">
        <f>COUNTIFS('P1_적재공통'!$A:$A,B6,'P1_적재공통'!$H:$H,"완료")</f>
        <v>0</v>
      </c>
      <c r="F6" s="8">
        <f>COUNTIFS('P1_적재공통'!$A:$A,B6,'P1_적재공통'!$H:$H,"확인중")</f>
        <v>0</v>
      </c>
      <c r="G6" s="8">
        <f>D6-E6-F6-COUNTIFS('P1_적재공통'!$A:$A,B6,'P1_적재공통'!$H:$H,"해당없음")</f>
        <v>2</v>
      </c>
      <c r="H6" s="10">
        <f>IF(D6=0,0,E6/D6)</f>
        <v>0.0</v>
      </c>
    </row>
    <row r="7">
      <c r="A7" s="7" t="inlineStr">
        <is>
          <t>P1 적재 공통</t>
        </is>
      </c>
      <c r="B7" s="8" t="inlineStr">
        <is>
          <t>S03</t>
        </is>
      </c>
      <c r="C7" s="9" t="inlineStr">
        <is>
          <t>청킹</t>
        </is>
      </c>
      <c r="D7" s="8">
        <f>COUNTIF('P1_적재공통'!$A:$A,B7)</f>
        <v>3</v>
      </c>
      <c r="E7" s="8">
        <f>COUNTIFS('P1_적재공통'!$A:$A,B7,'P1_적재공통'!$H:$H,"완료")</f>
        <v>0</v>
      </c>
      <c r="F7" s="8">
        <f>COUNTIFS('P1_적재공통'!$A:$A,B7,'P1_적재공통'!$H:$H,"확인중")</f>
        <v>0</v>
      </c>
      <c r="G7" s="8">
        <f>D7-E7-F7-COUNTIFS('P1_적재공통'!$A:$A,B7,'P1_적재공통'!$H:$H,"해당없음")</f>
        <v>3</v>
      </c>
      <c r="H7" s="10">
        <f>IF(D7=0,0,E7/D7)</f>
        <v>0.0</v>
      </c>
    </row>
    <row r="8">
      <c r="A8" s="7" t="inlineStr">
        <is>
          <t>P1 적재 공통</t>
        </is>
      </c>
      <c r="B8" s="8" t="inlineStr">
        <is>
          <t>S04</t>
        </is>
      </c>
      <c r="C8" s="9" t="inlineStr">
        <is>
          <t>임베딩</t>
        </is>
      </c>
      <c r="D8" s="8">
        <f>COUNTIF('P1_적재공통'!$A:$A,B8)</f>
        <v>3</v>
      </c>
      <c r="E8" s="8">
        <f>COUNTIFS('P1_적재공통'!$A:$A,B8,'P1_적재공통'!$H:$H,"완료")</f>
        <v>0</v>
      </c>
      <c r="F8" s="8">
        <f>COUNTIFS('P1_적재공통'!$A:$A,B8,'P1_적재공통'!$H:$H,"확인중")</f>
        <v>0</v>
      </c>
      <c r="G8" s="8">
        <f>D8-E8-F8-COUNTIFS('P1_적재공통'!$A:$A,B8,'P1_적재공통'!$H:$H,"해당없음")</f>
        <v>3</v>
      </c>
      <c r="H8" s="10">
        <f>IF(D8=0,0,E8/D8)</f>
        <v>0.0</v>
      </c>
    </row>
    <row r="9">
      <c r="A9" s="7" t="inlineStr">
        <is>
          <t>P1 적재 공통</t>
        </is>
      </c>
      <c r="B9" s="8" t="inlineStr">
        <is>
          <t>S05</t>
        </is>
      </c>
      <c r="C9" s="9" t="inlineStr">
        <is>
          <t>메타데이터</t>
        </is>
      </c>
      <c r="D9" s="8">
        <f>COUNTIF('P1_적재공통'!$A:$A,B9)</f>
        <v>3</v>
      </c>
      <c r="E9" s="8">
        <f>COUNTIFS('P1_적재공통'!$A:$A,B9,'P1_적재공통'!$H:$H,"완료")</f>
        <v>0</v>
      </c>
      <c r="F9" s="8">
        <f>COUNTIFS('P1_적재공통'!$A:$A,B9,'P1_적재공통'!$H:$H,"확인중")</f>
        <v>0</v>
      </c>
      <c r="G9" s="8">
        <f>D9-E9-F9-COUNTIFS('P1_적재공통'!$A:$A,B9,'P1_적재공통'!$H:$H,"해당없음")</f>
        <v>3</v>
      </c>
      <c r="H9" s="10">
        <f>IF(D9=0,0,E9/D9)</f>
        <v>0.0</v>
      </c>
    </row>
    <row r="10">
      <c r="A10" s="7" t="inlineStr">
        <is>
          <t>P1 적재 공통</t>
        </is>
      </c>
      <c r="B10" s="8" t="inlineStr">
        <is>
          <t>S06</t>
        </is>
      </c>
      <c r="C10" s="9" t="inlineStr">
        <is>
          <t>벡터 DB</t>
        </is>
      </c>
      <c r="D10" s="8">
        <f>COUNTIF('P1_적재공통'!$A:$A,B10)</f>
        <v>3</v>
      </c>
      <c r="E10" s="8">
        <f>COUNTIFS('P1_적재공통'!$A:$A,B10,'P1_적재공통'!$H:$H,"완료")</f>
        <v>0</v>
      </c>
      <c r="F10" s="8">
        <f>COUNTIFS('P1_적재공통'!$A:$A,B10,'P1_적재공통'!$H:$H,"확인중")</f>
        <v>0</v>
      </c>
      <c r="G10" s="8">
        <f>D10-E10-F10-COUNTIFS('P1_적재공통'!$A:$A,B10,'P1_적재공통'!$H:$H,"해당없음")</f>
        <v>3</v>
      </c>
      <c r="H10" s="10">
        <f>IF(D10=0,0,E10/D10)</f>
        <v>0.0</v>
      </c>
    </row>
    <row r="11">
      <c r="A11" s="7" t="inlineStr">
        <is>
          <t>P1 검색</t>
        </is>
      </c>
      <c r="B11" s="8" t="inlineStr">
        <is>
          <t>S07</t>
        </is>
      </c>
      <c r="C11" s="9" t="inlineStr">
        <is>
          <t>질의 입력</t>
        </is>
      </c>
      <c r="D11" s="8">
        <f>COUNTIF('P1_검색'!$A:$A,B11)</f>
        <v>2</v>
      </c>
      <c r="E11" s="8">
        <f>COUNTIFS('P1_검색'!$A:$A,B11,'P1_검색'!$H:$H,"완료")</f>
        <v>0</v>
      </c>
      <c r="F11" s="8">
        <f>COUNTIFS('P1_검색'!$A:$A,B11,'P1_검색'!$H:$H,"확인중")</f>
        <v>1</v>
      </c>
      <c r="G11" s="8">
        <f>D11-E11-F11-COUNTIFS('P1_검색'!$A:$A,B11,'P1_검색'!$H:$H,"해당없음")</f>
        <v>1</v>
      </c>
      <c r="H11" s="10">
        <f>IF(D11=0,0,E11/D11)</f>
        <v>0.0</v>
      </c>
    </row>
    <row r="12">
      <c r="A12" s="7" t="inlineStr">
        <is>
          <t>P1 검색</t>
        </is>
      </c>
      <c r="B12" s="8" t="inlineStr">
        <is>
          <t>S08</t>
        </is>
      </c>
      <c r="C12" s="9" t="inlineStr">
        <is>
          <t>질의 분석 · 분해</t>
        </is>
      </c>
      <c r="D12" s="8">
        <f>COUNTIF('P1_검색'!$A:$A,B12)</f>
        <v>3</v>
      </c>
      <c r="E12" s="8">
        <f>COUNTIFS('P1_검색'!$A:$A,B12,'P1_검색'!$H:$H,"완료")</f>
        <v>0</v>
      </c>
      <c r="F12" s="8">
        <f>COUNTIFS('P1_검색'!$A:$A,B12,'P1_검색'!$H:$H,"확인중")</f>
        <v>0</v>
      </c>
      <c r="G12" s="8">
        <f>D12-E12-F12-COUNTIFS('P1_검색'!$A:$A,B12,'P1_검색'!$H:$H,"해당없음")</f>
        <v>3</v>
      </c>
      <c r="H12" s="10">
        <f>IF(D12=0,0,E12/D12)</f>
        <v>0.0</v>
      </c>
    </row>
    <row r="13">
      <c r="A13" s="7" t="inlineStr">
        <is>
          <t>P1 검색</t>
        </is>
      </c>
      <c r="B13" s="8" t="inlineStr">
        <is>
          <t>S09</t>
        </is>
      </c>
      <c r="C13" s="9" t="inlineStr">
        <is>
          <t>BM25</t>
        </is>
      </c>
      <c r="D13" s="8">
        <f>COUNTIF('P1_검색'!$A:$A,B13)</f>
        <v>3</v>
      </c>
      <c r="E13" s="8">
        <f>COUNTIFS('P1_검색'!$A:$A,B13,'P1_검색'!$H:$H,"완료")</f>
        <v>0</v>
      </c>
      <c r="F13" s="8">
        <f>COUNTIFS('P1_검색'!$A:$A,B13,'P1_검색'!$H:$H,"확인중")</f>
        <v>0</v>
      </c>
      <c r="G13" s="8">
        <f>D13-E13-F13-COUNTIFS('P1_검색'!$A:$A,B13,'P1_검색'!$H:$H,"해당없음")</f>
        <v>3</v>
      </c>
      <c r="H13" s="10">
        <f>IF(D13=0,0,E13/D13)</f>
        <v>0.0</v>
      </c>
    </row>
    <row r="14">
      <c r="A14" s="7" t="inlineStr">
        <is>
          <t>P1 검색</t>
        </is>
      </c>
      <c r="B14" s="8" t="inlineStr">
        <is>
          <t>S10</t>
        </is>
      </c>
      <c r="C14" s="9" t="inlineStr">
        <is>
          <t>시맨틱 검색</t>
        </is>
      </c>
      <c r="D14" s="8">
        <f>COUNTIF('P1_검색'!$A:$A,B14)</f>
        <v>2</v>
      </c>
      <c r="E14" s="8">
        <f>COUNTIFS('P1_검색'!$A:$A,B14,'P1_검색'!$H:$H,"완료")</f>
        <v>0</v>
      </c>
      <c r="F14" s="8">
        <f>COUNTIFS('P1_검색'!$A:$A,B14,'P1_검색'!$H:$H,"확인중")</f>
        <v>0</v>
      </c>
      <c r="G14" s="8">
        <f>D14-E14-F14-COUNTIFS('P1_검색'!$A:$A,B14,'P1_검색'!$H:$H,"해당없음")</f>
        <v>2</v>
      </c>
      <c r="H14" s="10">
        <f>IF(D14=0,0,E14/D14)</f>
        <v>0.0</v>
      </c>
    </row>
    <row r="15">
      <c r="A15" s="7" t="inlineStr">
        <is>
          <t>P1 검색</t>
        </is>
      </c>
      <c r="B15" s="8" t="inlineStr">
        <is>
          <t>S11</t>
        </is>
      </c>
      <c r="C15" s="9" t="inlineStr">
        <is>
          <t>결합 · 다양성</t>
        </is>
      </c>
      <c r="D15" s="8">
        <f>COUNTIF('P1_검색'!$A:$A,B15)</f>
        <v>3</v>
      </c>
      <c r="E15" s="8">
        <f>COUNTIFS('P1_검색'!$A:$A,B15,'P1_검색'!$H:$H,"완료")</f>
        <v>0</v>
      </c>
      <c r="F15" s="8">
        <f>COUNTIFS('P1_검색'!$A:$A,B15,'P1_검색'!$H:$H,"확인중")</f>
        <v>0</v>
      </c>
      <c r="G15" s="8">
        <f>D15-E15-F15-COUNTIFS('P1_검색'!$A:$A,B15,'P1_검색'!$H:$H,"해당없음")</f>
        <v>3</v>
      </c>
      <c r="H15" s="10">
        <f>IF(D15=0,0,E15/D15)</f>
        <v>0.0</v>
      </c>
    </row>
    <row r="16">
      <c r="A16" s="7" t="inlineStr">
        <is>
          <t>P1 검색</t>
        </is>
      </c>
      <c r="B16" s="8" t="inlineStr">
        <is>
          <t>S12</t>
        </is>
      </c>
      <c r="C16" s="9" t="inlineStr">
        <is>
          <t>리랭크</t>
        </is>
      </c>
      <c r="D16" s="8">
        <f>COUNTIF('P1_검색'!$A:$A,B16)</f>
        <v>2</v>
      </c>
      <c r="E16" s="8">
        <f>COUNTIFS('P1_검색'!$A:$A,B16,'P1_검색'!$H:$H,"완료")</f>
        <v>0</v>
      </c>
      <c r="F16" s="8">
        <f>COUNTIFS('P1_검색'!$A:$A,B16,'P1_검색'!$H:$H,"확인중")</f>
        <v>0</v>
      </c>
      <c r="G16" s="8">
        <f>D16-E16-F16-COUNTIFS('P1_검색'!$A:$A,B16,'P1_검색'!$H:$H,"해당없음")</f>
        <v>2</v>
      </c>
      <c r="H16" s="10">
        <f>IF(D16=0,0,E16/D16)</f>
        <v>0.0</v>
      </c>
    </row>
    <row r="17">
      <c r="A17" s="7" t="inlineStr">
        <is>
          <t>P1 검색</t>
        </is>
      </c>
      <c r="B17" s="8" t="inlineStr">
        <is>
          <t>S13</t>
        </is>
      </c>
      <c r="C17" s="9" t="inlineStr">
        <is>
          <t>컨텍스트</t>
        </is>
      </c>
      <c r="D17" s="8">
        <f>COUNTIF('P1_검색'!$A:$A,B17)</f>
        <v>2</v>
      </c>
      <c r="E17" s="8">
        <f>COUNTIFS('P1_검색'!$A:$A,B17,'P1_검색'!$H:$H,"완료")</f>
        <v>0</v>
      </c>
      <c r="F17" s="8">
        <f>COUNTIFS('P1_검색'!$A:$A,B17,'P1_검색'!$H:$H,"확인중")</f>
        <v>0</v>
      </c>
      <c r="G17" s="8">
        <f>D17-E17-F17-COUNTIFS('P1_검색'!$A:$A,B17,'P1_검색'!$H:$H,"해당없음")</f>
        <v>2</v>
      </c>
      <c r="H17" s="10">
        <f>IF(D17=0,0,E17/D17)</f>
        <v>0.0</v>
      </c>
    </row>
    <row r="18">
      <c r="A18" s="7" t="inlineStr">
        <is>
          <t>P1 검색</t>
        </is>
      </c>
      <c r="B18" s="8" t="inlineStr">
        <is>
          <t>S14</t>
        </is>
      </c>
      <c r="C18" s="9" t="inlineStr">
        <is>
          <t>LLM 답변</t>
        </is>
      </c>
      <c r="D18" s="8">
        <f>COUNTIF('P1_검색'!$A:$A,B18)</f>
        <v>3</v>
      </c>
      <c r="E18" s="8">
        <f>COUNTIFS('P1_검색'!$A:$A,B18,'P1_검색'!$H:$H,"완료")</f>
        <v>0</v>
      </c>
      <c r="F18" s="8">
        <f>COUNTIFS('P1_검색'!$A:$A,B18,'P1_검색'!$H:$H,"확인중")</f>
        <v>0</v>
      </c>
      <c r="G18" s="8">
        <f>D18-E18-F18-COUNTIFS('P1_검색'!$A:$A,B18,'P1_검색'!$H:$H,"해당없음")</f>
        <v>3</v>
      </c>
      <c r="H18" s="10">
        <f>IF(D18=0,0,E18/D18)</f>
        <v>0.0</v>
      </c>
    </row>
    <row r="19">
      <c r="A19" s="7" t="inlineStr">
        <is>
          <t>P1 검색</t>
        </is>
      </c>
      <c r="B19" s="8" t="inlineStr">
        <is>
          <t>S15</t>
        </is>
      </c>
      <c r="C19" s="9" t="inlineStr">
        <is>
          <t>평가</t>
        </is>
      </c>
      <c r="D19" s="8">
        <f>COUNTIF('P1_검색'!$A:$A,B19)</f>
        <v>3</v>
      </c>
      <c r="E19" s="8">
        <f>COUNTIFS('P1_검색'!$A:$A,B19,'P1_검색'!$H:$H,"완료")</f>
        <v>0</v>
      </c>
      <c r="F19" s="8">
        <f>COUNTIFS('P1_검색'!$A:$A,B19,'P1_검색'!$H:$H,"확인중")</f>
        <v>0</v>
      </c>
      <c r="G19" s="8">
        <f>D19-E19-F19-COUNTIFS('P1_검색'!$A:$A,B19,'P1_검색'!$H:$H,"해당없음")</f>
        <v>3</v>
      </c>
      <c r="H19" s="10">
        <f>IF(D19=0,0,E19/D19)</f>
        <v>0.0</v>
      </c>
    </row>
    <row r="20">
      <c r="A20" s="7" t="inlineStr">
        <is>
          <t>P2 센싱</t>
        </is>
      </c>
      <c r="B20" s="8" t="inlineStr">
        <is>
          <t>S16</t>
        </is>
      </c>
      <c r="C20" s="9" t="inlineStr">
        <is>
          <t>센싱 축</t>
        </is>
      </c>
      <c r="D20" s="8">
        <f>COUNTIF('P2_센싱'!$A:$A,B20)</f>
        <v>2</v>
      </c>
      <c r="E20" s="8">
        <f>COUNTIFS('P2_센싱'!$A:$A,B20,'P2_센싱'!$H:$H,"완료")</f>
        <v>1</v>
      </c>
      <c r="F20" s="8">
        <f>COUNTIFS('P2_센싱'!$A:$A,B20,'P2_센싱'!$H:$H,"확인중")</f>
        <v>0</v>
      </c>
      <c r="G20" s="8">
        <f>D20-E20-F20-COUNTIFS('P2_센싱'!$A:$A,B20,'P2_센싱'!$H:$H,"해당없음")</f>
        <v>1</v>
      </c>
      <c r="H20" s="10">
        <f>IF(D20=0,0,E20/D20)</f>
        <v>0.5</v>
      </c>
    </row>
    <row r="21">
      <c r="A21" s="7" t="inlineStr">
        <is>
          <t>P2 센싱</t>
        </is>
      </c>
      <c r="B21" s="8" t="inlineStr">
        <is>
          <t>S17</t>
        </is>
      </c>
      <c r="C21" s="9" t="inlineStr">
        <is>
          <t>상시 질의</t>
        </is>
      </c>
      <c r="D21" s="8">
        <f>COUNTIF('P2_센싱'!$A:$A,B21)</f>
        <v>2</v>
      </c>
      <c r="E21" s="8">
        <f>COUNTIFS('P2_센싱'!$A:$A,B21,'P2_센싱'!$H:$H,"완료")</f>
        <v>0</v>
      </c>
      <c r="F21" s="8">
        <f>COUNTIFS('P2_센싱'!$A:$A,B21,'P2_센싱'!$H:$H,"확인중")</f>
        <v>0</v>
      </c>
      <c r="G21" s="8">
        <f>D21-E21-F21-COUNTIFS('P2_센싱'!$A:$A,B21,'P2_센싱'!$H:$H,"해당없음")</f>
        <v>2</v>
      </c>
      <c r="H21" s="10">
        <f>IF(D21=0,0,E21/D21)</f>
        <v>0.0</v>
      </c>
    </row>
    <row r="22">
      <c r="A22" s="7" t="inlineStr">
        <is>
          <t>P2 센싱</t>
        </is>
      </c>
      <c r="B22" s="8" t="inlineStr">
        <is>
          <t>S18</t>
        </is>
      </c>
      <c r="C22" s="9" t="inlineStr">
        <is>
          <t>검색 · 수집</t>
        </is>
      </c>
      <c r="D22" s="8">
        <f>COUNTIF('P2_센싱'!$A:$A,B22)</f>
        <v>2</v>
      </c>
      <c r="E22" s="8">
        <f>COUNTIFS('P2_센싱'!$A:$A,B22,'P2_센싱'!$H:$H,"완료")</f>
        <v>0</v>
      </c>
      <c r="F22" s="8">
        <f>COUNTIFS('P2_센싱'!$A:$A,B22,'P2_센싱'!$H:$H,"확인중")</f>
        <v>0</v>
      </c>
      <c r="G22" s="8">
        <f>D22-E22-F22-COUNTIFS('P2_센싱'!$A:$A,B22,'P2_센싱'!$H:$H,"해당없음")</f>
        <v>2</v>
      </c>
      <c r="H22" s="10">
        <f>IF(D22=0,0,E22/D22)</f>
        <v>0.0</v>
      </c>
    </row>
    <row r="23">
      <c r="A23" s="7" t="inlineStr">
        <is>
          <t>P2 센싱</t>
        </is>
      </c>
      <c r="B23" s="8" t="inlineStr">
        <is>
          <t>S19</t>
        </is>
      </c>
      <c r="C23" s="9" t="inlineStr">
        <is>
          <t>변화 감지</t>
        </is>
      </c>
      <c r="D23" s="8">
        <f>COUNTIF('P2_센싱'!$A:$A,B23)</f>
        <v>3</v>
      </c>
      <c r="E23" s="8">
        <f>COUNTIFS('P2_센싱'!$A:$A,B23,'P2_센싱'!$H:$H,"완료")</f>
        <v>0</v>
      </c>
      <c r="F23" s="8">
        <f>COUNTIFS('P2_센싱'!$A:$A,B23,'P2_센싱'!$H:$H,"확인중")</f>
        <v>0</v>
      </c>
      <c r="G23" s="8">
        <f>D23-E23-F23-COUNTIFS('P2_센싱'!$A:$A,B23,'P2_센싱'!$H:$H,"해당없음")</f>
        <v>3</v>
      </c>
      <c r="H23" s="10">
        <f>IF(D23=0,0,E23/D23)</f>
        <v>0.0</v>
      </c>
    </row>
    <row r="24">
      <c r="A24" s="7" t="inlineStr">
        <is>
          <t>P2 센싱</t>
        </is>
      </c>
      <c r="B24" s="8" t="inlineStr">
        <is>
          <t>S20</t>
        </is>
      </c>
      <c r="C24" s="9" t="inlineStr">
        <is>
          <t>요약 · 알림</t>
        </is>
      </c>
      <c r="D24" s="8">
        <f>COUNTIF('P2_센싱'!$A:$A,B24)</f>
        <v>2</v>
      </c>
      <c r="E24" s="8">
        <f>COUNTIFS('P2_센싱'!$A:$A,B24,'P2_센싱'!$H:$H,"완료")</f>
        <v>0</v>
      </c>
      <c r="F24" s="8">
        <f>COUNTIFS('P2_센싱'!$A:$A,B24,'P2_센싱'!$H:$H,"확인중")</f>
        <v>0</v>
      </c>
      <c r="G24" s="8">
        <f>D24-E24-F24-COUNTIFS('P2_센싱'!$A:$A,B24,'P2_센싱'!$H:$H,"해당없음")</f>
        <v>2</v>
      </c>
      <c r="H24" s="10">
        <f>IF(D24=0,0,E24/D24)</f>
        <v>0.0</v>
      </c>
    </row>
    <row r="25">
      <c r="A25" s="7" t="inlineStr">
        <is>
          <t>P2 센싱</t>
        </is>
      </c>
      <c r="B25" s="8" t="inlineStr">
        <is>
          <t>S21</t>
        </is>
      </c>
      <c r="C25" s="9" t="inlineStr">
        <is>
          <t>백테스트</t>
        </is>
      </c>
      <c r="D25" s="8">
        <f>COUNTIF('P2_센싱'!$A:$A,B25)</f>
        <v>2</v>
      </c>
      <c r="E25" s="8">
        <f>COUNTIFS('P2_센싱'!$A:$A,B25,'P2_센싱'!$H:$H,"완료")</f>
        <v>0</v>
      </c>
      <c r="F25" s="8">
        <f>COUNTIFS('P2_센싱'!$A:$A,B25,'P2_센싱'!$H:$H,"확인중")</f>
        <v>0</v>
      </c>
      <c r="G25" s="8">
        <f>D25-E25-F25-COUNTIFS('P2_센싱'!$A:$A,B25,'P2_센싱'!$H:$H,"해당없음")</f>
        <v>2</v>
      </c>
      <c r="H25" s="10">
        <f>IF(D25=0,0,E25/D25)</f>
        <v>0.0</v>
      </c>
    </row>
    <row r="26">
      <c r="A26" s="7" t="inlineStr">
        <is>
          <t>P3 정형연계</t>
        </is>
      </c>
      <c r="B26" s="8" t="inlineStr">
        <is>
          <t>S22</t>
        </is>
      </c>
      <c r="C26" s="9" t="inlineStr">
        <is>
          <t>정형 자산 카탈로그</t>
        </is>
      </c>
      <c r="D26" s="8">
        <f>COUNTIF('P3_정형연계'!$A:$A,B26)</f>
        <v>4</v>
      </c>
      <c r="E26" s="8">
        <f>COUNTIFS('P3_정형연계'!$A:$A,B26,'P3_정형연계'!$H:$H,"완료")</f>
        <v>0</v>
      </c>
      <c r="F26" s="8">
        <f>COUNTIFS('P3_정형연계'!$A:$A,B26,'P3_정형연계'!$H:$H,"확인중")</f>
        <v>0</v>
      </c>
      <c r="G26" s="8">
        <f>D26-E26-F26-COUNTIFS('P3_정형연계'!$A:$A,B26,'P3_정형연계'!$H:$H,"해당없음")</f>
        <v>4</v>
      </c>
      <c r="H26" s="10">
        <f>IF(D26=0,0,E26/D26)</f>
        <v>0.0</v>
      </c>
    </row>
    <row r="27">
      <c r="A27" s="7" t="inlineStr">
        <is>
          <t>P3 정형연계</t>
        </is>
      </c>
      <c r="B27" s="8" t="inlineStr">
        <is>
          <t>S23</t>
        </is>
      </c>
      <c r="C27" s="9" t="inlineStr">
        <is>
          <t>시맨틱 뷰 · 허용목록</t>
        </is>
      </c>
      <c r="D27" s="8">
        <f>COUNTIF('P3_정형연계'!$A:$A,B27)</f>
        <v>4</v>
      </c>
      <c r="E27" s="8">
        <f>COUNTIFS('P3_정형연계'!$A:$A,B27,'P3_정형연계'!$H:$H,"완료")</f>
        <v>0</v>
      </c>
      <c r="F27" s="8">
        <f>COUNTIFS('P3_정형연계'!$A:$A,B27,'P3_정형연계'!$H:$H,"확인중")</f>
        <v>0</v>
      </c>
      <c r="G27" s="8">
        <f>D27-E27-F27-COUNTIFS('P3_정형연계'!$A:$A,B27,'P3_정형연계'!$H:$H,"해당없음")</f>
        <v>4</v>
      </c>
      <c r="H27" s="10">
        <f>IF(D27=0,0,E27/D27)</f>
        <v>0.0</v>
      </c>
    </row>
    <row r="28">
      <c r="A28" s="7" t="inlineStr">
        <is>
          <t>P3 정형연계</t>
        </is>
      </c>
      <c r="B28" s="8" t="inlineStr">
        <is>
          <t>S24</t>
        </is>
      </c>
      <c r="C28" s="9" t="inlineStr">
        <is>
          <t>질의 라우팅</t>
        </is>
      </c>
      <c r="D28" s="8">
        <f>COUNTIF('P3_정형연계'!$A:$A,B28)</f>
        <v>4</v>
      </c>
      <c r="E28" s="8">
        <f>COUNTIFS('P3_정형연계'!$A:$A,B28,'P3_정형연계'!$H:$H,"완료")</f>
        <v>0</v>
      </c>
      <c r="F28" s="8">
        <f>COUNTIFS('P3_정형연계'!$A:$A,B28,'P3_정형연계'!$H:$H,"확인중")</f>
        <v>0</v>
      </c>
      <c r="G28" s="8">
        <f>D28-E28-F28-COUNTIFS('P3_정형연계'!$A:$A,B28,'P3_정형연계'!$H:$H,"해당없음")</f>
        <v>4</v>
      </c>
      <c r="H28" s="10">
        <f>IF(D28=0,0,E28/D28)</f>
        <v>0.0</v>
      </c>
    </row>
    <row r="29">
      <c r="A29" s="7" t="inlineStr">
        <is>
          <t>P3 정형연계</t>
        </is>
      </c>
      <c r="B29" s="8" t="inlineStr">
        <is>
          <t>S25</t>
        </is>
      </c>
      <c r="C29" s="9" t="inlineStr">
        <is>
          <t>SQL 생성 · 검증</t>
        </is>
      </c>
      <c r="D29" s="8">
        <f>COUNTIF('P3_정형연계'!$A:$A,B29)</f>
        <v>5</v>
      </c>
      <c r="E29" s="8">
        <f>COUNTIFS('P3_정형연계'!$A:$A,B29,'P3_정형연계'!$H:$H,"완료")</f>
        <v>0</v>
      </c>
      <c r="F29" s="8">
        <f>COUNTIFS('P3_정형연계'!$A:$A,B29,'P3_정형연계'!$H:$H,"확인중")</f>
        <v>0</v>
      </c>
      <c r="G29" s="8">
        <f>D29-E29-F29-COUNTIFS('P3_정형연계'!$A:$A,B29,'P3_정형연계'!$H:$H,"해당없음")</f>
        <v>5</v>
      </c>
      <c r="H29" s="10">
        <f>IF(D29=0,0,E29/D29)</f>
        <v>0.0</v>
      </c>
    </row>
    <row r="30">
      <c r="A30" s="7" t="inlineStr">
        <is>
          <t>P3 정형연계</t>
        </is>
      </c>
      <c r="B30" s="8" t="inlineStr">
        <is>
          <t>S26</t>
        </is>
      </c>
      <c r="C30" s="9" t="inlineStr">
        <is>
          <t>정형 × 비정형 결합</t>
        </is>
      </c>
      <c r="D30" s="8">
        <f>COUNTIF('P3_정형연계'!$A:$A,B30)</f>
        <v>4</v>
      </c>
      <c r="E30" s="8">
        <f>COUNTIFS('P3_정형연계'!$A:$A,B30,'P3_정형연계'!$H:$H,"완료")</f>
        <v>0</v>
      </c>
      <c r="F30" s="8">
        <f>COUNTIFS('P3_정형연계'!$A:$A,B30,'P3_정형연계'!$H:$H,"확인중")</f>
        <v>0</v>
      </c>
      <c r="G30" s="8">
        <f>D30-E30-F30-COUNTIFS('P3_정형연계'!$A:$A,B30,'P3_정형연계'!$H:$H,"해당없음")</f>
        <v>4</v>
      </c>
      <c r="H30" s="10">
        <f>IF(D30=0,0,E30/D30)</f>
        <v>0.0</v>
      </c>
    </row>
    <row r="31">
      <c r="A31" s="7" t="inlineStr">
        <is>
          <t>P3 정형연계</t>
        </is>
      </c>
      <c r="B31" s="8" t="inlineStr">
        <is>
          <t>S27</t>
        </is>
      </c>
      <c r="C31" s="9" t="inlineStr">
        <is>
          <t>수치 정합성 · 신뢰</t>
        </is>
      </c>
      <c r="D31" s="8">
        <f>COUNTIF('P3_정형연계'!$A:$A,B31)</f>
        <v>4</v>
      </c>
      <c r="E31" s="8">
        <f>COUNTIFS('P3_정형연계'!$A:$A,B31,'P3_정형연계'!$H:$H,"완료")</f>
        <v>0</v>
      </c>
      <c r="F31" s="8">
        <f>COUNTIFS('P3_정형연계'!$A:$A,B31,'P3_정형연계'!$H:$H,"확인중")</f>
        <v>0</v>
      </c>
      <c r="G31" s="8">
        <f>D31-E31-F31-COUNTIFS('P3_정형연계'!$A:$A,B31,'P3_정형연계'!$H:$H,"해당없음")</f>
        <v>4</v>
      </c>
      <c r="H31" s="10">
        <f>IF(D31=0,0,E31/D31)</f>
        <v>0.0</v>
      </c>
    </row>
    <row r="32">
      <c r="A32" s="7" t="inlineStr">
        <is>
          <t>P3 정형연계</t>
        </is>
      </c>
      <c r="B32" s="8" t="inlineStr">
        <is>
          <t>S28</t>
        </is>
      </c>
      <c r="C32" s="9" t="inlineStr">
        <is>
          <t>권한 · 보안</t>
        </is>
      </c>
      <c r="D32" s="8">
        <f>COUNTIF('P3_정형연계'!$A:$A,B32)</f>
        <v>4</v>
      </c>
      <c r="E32" s="8">
        <f>COUNTIFS('P3_정형연계'!$A:$A,B32,'P3_정형연계'!$H:$H,"완료")</f>
        <v>0</v>
      </c>
      <c r="F32" s="8">
        <f>COUNTIFS('P3_정형연계'!$A:$A,B32,'P3_정형연계'!$H:$H,"확인중")</f>
        <v>0</v>
      </c>
      <c r="G32" s="8">
        <f>D32-E32-F32-COUNTIFS('P3_정형연계'!$A:$A,B32,'P3_정형연계'!$H:$H,"해당없음")</f>
        <v>4</v>
      </c>
      <c r="H32" s="10">
        <f>IF(D32=0,0,E32/D32)</f>
        <v>0.0</v>
      </c>
    </row>
    <row r="33">
      <c r="A33" s="7" t="inlineStr">
        <is>
          <t>P3 정형연계</t>
        </is>
      </c>
      <c r="B33" s="8" t="inlineStr">
        <is>
          <t>S29</t>
        </is>
      </c>
      <c r="C33" s="9" t="inlineStr">
        <is>
          <t>평가 · 운영</t>
        </is>
      </c>
      <c r="D33" s="8">
        <f>COUNTIF('P3_정형연계'!$A:$A,B33)</f>
        <v>4</v>
      </c>
      <c r="E33" s="8">
        <f>COUNTIFS('P3_정형연계'!$A:$A,B33,'P3_정형연계'!$H:$H,"완료")</f>
        <v>0</v>
      </c>
      <c r="F33" s="8">
        <f>COUNTIFS('P3_정형연계'!$A:$A,B33,'P3_정형연계'!$H:$H,"확인중")</f>
        <v>0</v>
      </c>
      <c r="G33" s="8">
        <f>D33-E33-F33-COUNTIFS('P3_정형연계'!$A:$A,B33,'P3_정형연계'!$H:$H,"해당없음")</f>
        <v>4</v>
      </c>
      <c r="H33" s="10">
        <f>IF(D33=0,0,E33/D33)</f>
        <v>0.0</v>
      </c>
    </row>
    <row r="34">
      <c r="A34" s="7" t="inlineStr">
        <is>
          <t>소스별 적재</t>
        </is>
      </c>
      <c r="B34" s="8" t="inlineStr">
        <is>
          <t>NEWS</t>
        </is>
      </c>
      <c r="C34" s="9" t="inlineStr">
        <is>
          <t>뉴스</t>
        </is>
      </c>
      <c r="D34" s="8">
        <f>COUNTIF('소스별_상세'!$A:$A,C34)</f>
        <v>5</v>
      </c>
      <c r="E34" s="8">
        <f>COUNTIFS('소스별_상세'!$A:$A,C34,'소스별_상세'!$I:$I,"완료")</f>
        <v>0</v>
      </c>
      <c r="F34" s="8">
        <f>COUNTIFS('소스별_상세'!$A:$A,C34,'소스별_상세'!$I:$I,"확인중")</f>
        <v>1</v>
      </c>
      <c r="G34" s="8">
        <f>D34-E34-F34-COUNTIFS('소스별_상세'!$A:$A,C34,'소스별_상세'!$I:$I,"해당없음")</f>
        <v>4</v>
      </c>
      <c r="H34" s="10">
        <f>IF(D34=0,0,E34/D34)</f>
        <v>0.0</v>
      </c>
    </row>
    <row r="35">
      <c r="A35" s="7" t="inlineStr">
        <is>
          <t>소스별 적재</t>
        </is>
      </c>
      <c r="B35" s="8" t="inlineStr">
        <is>
          <t>BROKER</t>
        </is>
      </c>
      <c r="C35" s="9" t="inlineStr">
        <is>
          <t>증권사 리포트</t>
        </is>
      </c>
      <c r="D35" s="8">
        <f>COUNTIF('소스별_상세'!$A:$A,C35)</f>
        <v>5</v>
      </c>
      <c r="E35" s="8">
        <f>COUNTIFS('소스별_상세'!$A:$A,C35,'소스별_상세'!$I:$I,"완료")</f>
        <v>0</v>
      </c>
      <c r="F35" s="8">
        <f>COUNTIFS('소스별_상세'!$A:$A,C35,'소스별_상세'!$I:$I,"확인중")</f>
        <v>1</v>
      </c>
      <c r="G35" s="8">
        <f>D35-E35-F35-COUNTIFS('소스별_상세'!$A:$A,C35,'소스별_상세'!$I:$I,"해당없음")</f>
        <v>4</v>
      </c>
      <c r="H35" s="10">
        <f>IF(D35=0,0,E35/D35)</f>
        <v>0.0</v>
      </c>
    </row>
    <row r="36">
      <c r="A36" s="7" t="inlineStr">
        <is>
          <t>소스별 적재</t>
        </is>
      </c>
      <c r="B36" s="8" t="inlineStr">
        <is>
          <t>INSTITUTION</t>
        </is>
      </c>
      <c r="C36" s="9" t="inlineStr">
        <is>
          <t>기관 보고서</t>
        </is>
      </c>
      <c r="D36" s="8">
        <f>COUNTIF('소스별_상세'!$A:$A,C36)</f>
        <v>5</v>
      </c>
      <c r="E36" s="8">
        <f>COUNTIFS('소스별_상세'!$A:$A,C36,'소스별_상세'!$I:$I,"완료")</f>
        <v>0</v>
      </c>
      <c r="F36" s="8">
        <f>COUNTIFS('소스별_상세'!$A:$A,C36,'소스별_상세'!$I:$I,"확인중")</f>
        <v>1</v>
      </c>
      <c r="G36" s="8">
        <f>D36-E36-F36-COUNTIFS('소스별_상세'!$A:$A,C36,'소스별_상세'!$I:$I,"해당없음")</f>
        <v>4</v>
      </c>
      <c r="H36" s="10">
        <f>IF(D36=0,0,E36/D36)</f>
        <v>0.0</v>
      </c>
    </row>
    <row r="37">
      <c r="A37" s="7" t="inlineStr">
        <is>
          <t>소스별 적재</t>
        </is>
      </c>
      <c r="B37" s="8" t="inlineStr">
        <is>
          <t>EMAIL</t>
        </is>
      </c>
      <c r="C37" s="9" t="inlineStr">
        <is>
          <t>메일</t>
        </is>
      </c>
      <c r="D37" s="8">
        <f>COUNTIF('소스별_상세'!$A:$A,C37)</f>
        <v>5</v>
      </c>
      <c r="E37" s="8">
        <f>COUNTIFS('소스별_상세'!$A:$A,C37,'소스별_상세'!$I:$I,"완료")</f>
        <v>0</v>
      </c>
      <c r="F37" s="8">
        <f>COUNTIFS('소스별_상세'!$A:$A,C37,'소스별_상세'!$I:$I,"확인중")</f>
        <v>1</v>
      </c>
      <c r="G37" s="8">
        <f>D37-E37-F37-COUNTIFS('소스별_상세'!$A:$A,C37,'소스별_상세'!$I:$I,"해당없음")</f>
        <v>4</v>
      </c>
      <c r="H37" s="10">
        <f>IF(D37=0,0,E37/D37)</f>
        <v>0.0</v>
      </c>
    </row>
    <row r="38">
      <c r="A38" s="7" t="inlineStr">
        <is>
          <t>소스별 적재</t>
        </is>
      </c>
      <c r="B38" s="8" t="inlineStr">
        <is>
          <t>MEETING</t>
        </is>
      </c>
      <c r="C38" s="9" t="inlineStr">
        <is>
          <t>회의록</t>
        </is>
      </c>
      <c r="D38" s="8">
        <f>COUNTIF('소스별_상세'!$A:$A,C38)</f>
        <v>5</v>
      </c>
      <c r="E38" s="8">
        <f>COUNTIFS('소스별_상세'!$A:$A,C38,'소스별_상세'!$I:$I,"완료")</f>
        <v>0</v>
      </c>
      <c r="F38" s="8">
        <f>COUNTIFS('소스별_상세'!$A:$A,C38,'소스별_상세'!$I:$I,"확인중")</f>
        <v>1</v>
      </c>
      <c r="G38" s="8">
        <f>D38-E38-F38-COUNTIFS('소스별_상세'!$A:$A,C38,'소스별_상세'!$I:$I,"해당없음")</f>
        <v>4</v>
      </c>
      <c r="H38" s="10">
        <f>IF(D38=0,0,E38/D38)</f>
        <v>0.0</v>
      </c>
    </row>
    <row r="39">
      <c r="A39" s="7" t="inlineStr">
        <is>
          <t>소스별 적재</t>
        </is>
      </c>
      <c r="B39" s="8" t="inlineStr">
        <is>
          <t>REPORT</t>
        </is>
      </c>
      <c r="C39" s="9" t="inlineStr">
        <is>
          <t>사내 보고서</t>
        </is>
      </c>
      <c r="D39" s="8">
        <f>COUNTIF('소스별_상세'!$A:$A,C39)</f>
        <v>5</v>
      </c>
      <c r="E39" s="8">
        <f>COUNTIFS('소스별_상세'!$A:$A,C39,'소스별_상세'!$I:$I,"완료")</f>
        <v>0</v>
      </c>
      <c r="F39" s="8">
        <f>COUNTIFS('소스별_상세'!$A:$A,C39,'소스별_상세'!$I:$I,"확인중")</f>
        <v>1</v>
      </c>
      <c r="G39" s="8">
        <f>D39-E39-F39-COUNTIFS('소스별_상세'!$A:$A,C39,'소스별_상세'!$I:$I,"해당없음")</f>
        <v>4</v>
      </c>
      <c r="H39" s="10">
        <f>IF(D39=0,0,E39/D39)</f>
        <v>0.0</v>
      </c>
    </row>
    <row r="40">
      <c r="A40" s="7" t="inlineStr">
        <is>
          <t>소스별 적재</t>
        </is>
      </c>
      <c r="B40" s="8" t="inlineStr">
        <is>
          <t>KNOWLEDGE</t>
        </is>
      </c>
      <c r="C40" s="9" t="inlineStr">
        <is>
          <t>지식문서</t>
        </is>
      </c>
      <c r="D40" s="8">
        <f>COUNTIF('소스별_상세'!$A:$A,C40)</f>
        <v>5</v>
      </c>
      <c r="E40" s="8">
        <f>COUNTIFS('소스별_상세'!$A:$A,C40,'소스별_상세'!$I:$I,"완료")</f>
        <v>0</v>
      </c>
      <c r="F40" s="8">
        <f>COUNTIFS('소스별_상세'!$A:$A,C40,'소스별_상세'!$I:$I,"확인중")</f>
        <v>1</v>
      </c>
      <c r="G40" s="8">
        <f>D40-E40-F40-COUNTIFS('소스별_상세'!$A:$A,C40,'소스별_상세'!$I:$I,"해당없음")</f>
        <v>4</v>
      </c>
      <c r="H40" s="10">
        <f>IF(D40=0,0,E40/D40)</f>
        <v>0.0</v>
      </c>
    </row>
    <row r="41">
      <c r="A41" s="7" t="inlineStr">
        <is>
          <t>소스별 적재</t>
        </is>
      </c>
      <c r="B41" s="8" t="inlineStr">
        <is>
          <t>ENG_REPORT</t>
        </is>
      </c>
      <c r="C41" s="9" t="inlineStr">
        <is>
          <t>엔지니어 보고서</t>
        </is>
      </c>
      <c r="D41" s="8">
        <f>COUNTIF('소스별_상세'!$A:$A,C41)</f>
        <v>5</v>
      </c>
      <c r="E41" s="8">
        <f>COUNTIFS('소스별_상세'!$A:$A,C41,'소스별_상세'!$I:$I,"완료")</f>
        <v>0</v>
      </c>
      <c r="F41" s="8">
        <f>COUNTIFS('소스별_상세'!$A:$A,C41,'소스별_상세'!$I:$I,"확인중")</f>
        <v>1</v>
      </c>
      <c r="G41" s="8">
        <f>D41-E41-F41-COUNTIFS('소스별_상세'!$A:$A,C41,'소스별_상세'!$I:$I,"해당없음")</f>
        <v>4</v>
      </c>
      <c r="H41" s="10">
        <f>IF(D41=0,0,E41/D41)</f>
        <v>0.0</v>
      </c>
    </row>
    <row r="42">
      <c r="A42" s="7" t="inlineStr">
        <is>
          <t>소스별 적재</t>
        </is>
      </c>
      <c r="B42" s="8" t="inlineStr">
        <is>
          <t>EXEC_REPORT</t>
        </is>
      </c>
      <c r="C42" s="9" t="inlineStr">
        <is>
          <t>임원 보고서</t>
        </is>
      </c>
      <c r="D42" s="8">
        <f>COUNTIF('소스별_상세'!$A:$A,C42)</f>
        <v>5</v>
      </c>
      <c r="E42" s="8">
        <f>COUNTIFS('소스별_상세'!$A:$A,C42,'소스별_상세'!$I:$I,"완료")</f>
        <v>0</v>
      </c>
      <c r="F42" s="8">
        <f>COUNTIFS('소스별_상세'!$A:$A,C42,'소스별_상세'!$I:$I,"확인중")</f>
        <v>1</v>
      </c>
      <c r="G42" s="8">
        <f>D42-E42-F42-COUNTIFS('소스별_상세'!$A:$A,C42,'소스별_상세'!$I:$I,"해당없음")</f>
        <v>4</v>
      </c>
      <c r="H42" s="10">
        <f>IF(D42=0,0,E42/D42)</f>
        <v>0.0</v>
      </c>
    </row>
    <row r="43">
      <c r="A43" s="7" t="inlineStr">
        <is>
          <t>처리 흐름</t>
        </is>
      </c>
      <c r="B43" s="8" t="inlineStr">
        <is>
          <t>FLOW</t>
        </is>
      </c>
      <c r="C43" s="9" t="inlineStr">
        <is>
          <t>판단기준 전체</t>
        </is>
      </c>
      <c r="D43" s="8">
        <f>COUNTIF('처리흐름_판단기준'!$A$5:$A$48,"&lt;&gt;")</f>
        <v>44</v>
      </c>
      <c r="E43" s="8">
        <f>COUNTIF('처리흐름_판단기준'!$F$5:$F$48,"완료")</f>
        <v>0</v>
      </c>
      <c r="F43" s="8">
        <f>COUNTIF('처리흐름_판단기준'!$F$5:$F$48,"확인중")</f>
        <v>0</v>
      </c>
      <c r="G43" s="8">
        <f>D43-E43-F43-COUNTIF('처리흐름_판단기준'!$F$5:$F$48,"해당없음")</f>
        <v>44</v>
      </c>
      <c r="H43" s="10">
        <f>IF(D43=0,0,E43/D43)</f>
        <v>0.0</v>
      </c>
    </row>
    <row r="44">
      <c r="A44" s="3" t="inlineStr">
        <is>
          <t>합계</t>
        </is>
      </c>
      <c r="B44" s="3" t="inlineStr"/>
      <c r="C44" s="11" t="inlineStr"/>
      <c r="D44" s="3">
        <f>SUM(D5:D43)</f>
        <v>175</v>
      </c>
      <c r="E44" s="3">
        <f>SUM(E5:E43)</f>
        <v>3</v>
      </c>
      <c r="F44" s="3">
        <f>SUM(F5:F43)</f>
        <v>10</v>
      </c>
      <c r="G44" s="3">
        <f>SUM(G5:G43)</f>
        <v>162</v>
      </c>
      <c r="H44" s="12">
        <f>IF(D44=0,0,E44/D44)</f>
        <v>0.017142857142857144</v>
      </c>
    </row>
    <row r="46">
      <c r="A46" s="13" t="inlineStr">
        <is>
          <t>스모크 20 — 실패 유형 집계</t>
        </is>
      </c>
    </row>
    <row r="47">
      <c r="A47" s="3" t="inlineStr">
        <is>
          <t>실패 유형</t>
        </is>
      </c>
      <c r="B47" s="3" t="inlineStr"/>
      <c r="C47" s="3" t="inlineStr"/>
      <c r="D47" s="3" t="inlineStr">
        <is>
          <t>건수</t>
        </is>
      </c>
    </row>
    <row r="48">
      <c r="A48" s="14" t="inlineStr">
        <is>
          <t>정상</t>
        </is>
      </c>
      <c r="D48" s="14">
        <f>COUNTIF('스모크20'!$F$5:$F$24,A48)</f>
        <v>0</v>
      </c>
    </row>
    <row r="49">
      <c r="A49" s="14" t="inlineStr">
        <is>
          <t>①검색 누락</t>
        </is>
      </c>
      <c r="D49" s="14">
        <f>COUNTIF('스모크20'!$F$5:$F$24,A49)</f>
        <v>0</v>
      </c>
    </row>
    <row r="50">
      <c r="A50" s="14" t="inlineStr">
        <is>
          <t>②엉뚱한 청크</t>
        </is>
      </c>
      <c r="D50" s="14">
        <f>COUNTIF('스모크20'!$F$5:$F$24,A50)</f>
        <v>0</v>
      </c>
    </row>
    <row r="51">
      <c r="A51" s="14" t="inlineStr">
        <is>
          <t>③파싱 깨짐</t>
        </is>
      </c>
      <c r="D51" s="14">
        <f>COUNTIF('스모크20'!$F$5:$F$24,A51)</f>
        <v>0</v>
      </c>
    </row>
    <row r="52">
      <c r="A52" s="14" t="inlineStr">
        <is>
          <t>④답변 환각</t>
        </is>
      </c>
      <c r="D52" s="14">
        <f>COUNTIF('스모크20'!$F$5:$F$24,A52)</f>
        <v>0</v>
      </c>
    </row>
    <row r="53">
      <c r="A53" s="14" t="inlineStr">
        <is>
          <t>⑤권한 노출</t>
        </is>
      </c>
      <c r="D53" s="14">
        <f>COUNTIF('스모크20'!$F$5:$F$24,A53)</f>
        <v>0</v>
      </c>
    </row>
    <row r="54">
      <c r="A54" s="15" t="inlineStr">
        <is>
          <t>미기입</t>
        </is>
      </c>
      <c r="D54" s="15">
        <f>COUNTIF('스모크20'!$F$5:$F$24,"")</f>
        <v>20</v>
      </c>
    </row>
  </sheetData>
  <mergeCells count="2">
    <mergeCell ref="A2:H2"/>
    <mergeCell ref="A1:H1"/>
  </mergeCells>
  <conditionalFormatting sqref="E5:E44">
    <cfRule type="cellIs" priority="1" operator="greaterThan" dxfId="0">
      <formula>0</formula>
    </cfRule>
  </conditionalFormatting>
  <conditionalFormatting sqref="F5:F44">
    <cfRule type="cellIs" priority="2" operator="greaterThan" dxfId="1">
      <formula>0</formula>
    </cfRule>
  </conditionalFormatting>
  <pageMargins left="0.75" right="0.75" top="1" bottom="1" header="0.5" footer="0.5"/>
  <pageSetup orientation="portrait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3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6" customWidth="1" min="3" max="3"/>
    <col width="9" customWidth="1" min="4" max="4"/>
    <col width="24" customWidth="1" min="5" max="5"/>
    <col width="24" customWidth="1" min="6" max="6"/>
    <col width="22" customWidth="1" min="7" max="7"/>
    <col width="24" customWidth="1" min="8" max="8"/>
    <col width="26" customWidth="1" min="9" max="9"/>
    <col width="8" customWidth="1" min="10" max="10"/>
  </cols>
  <sheetData>
    <row r="1">
      <c r="A1" s="1" t="inlineStr">
        <is>
          <t>소스별 매트릭스 — 소스 9종 × 적재 5단계</t>
        </is>
      </c>
    </row>
    <row r="2">
      <c r="A2" s="2" t="inlineStr">
        <is>
          <t>칸 = 상태(소스별_상세에서 자동) · 핵심 필요사항 · 우선 | 문서 수만 입력</t>
        </is>
      </c>
    </row>
    <row r="4">
      <c r="A4" s="3" t="inlineStr">
        <is>
          <t>소스</t>
        </is>
      </c>
      <c r="B4" s="3" t="inlineStr">
        <is>
          <t>DOC_TYPE</t>
        </is>
      </c>
      <c r="C4" s="3" t="inlineStr">
        <is>
          <t>구분</t>
        </is>
      </c>
      <c r="D4" s="3" t="inlineStr">
        <is>
          <t>문서 수</t>
        </is>
      </c>
      <c r="E4" s="3" t="inlineStr">
        <is>
          <t>수집</t>
        </is>
      </c>
      <c r="F4" s="3" t="inlineStr">
        <is>
          <t>파싱</t>
        </is>
      </c>
      <c r="G4" s="3" t="inlineStr">
        <is>
          <t>청킹</t>
        </is>
      </c>
      <c r="H4" s="3" t="inlineStr">
        <is>
          <t>메타</t>
        </is>
      </c>
      <c r="I4" s="3" t="inlineStr">
        <is>
          <t>권한</t>
        </is>
      </c>
      <c r="J4" s="3" t="inlineStr">
        <is>
          <t>보안등급</t>
        </is>
      </c>
    </row>
    <row r="5" ht="34" customHeight="1">
      <c r="A5" s="16" t="inlineStr">
        <is>
          <t>뉴스</t>
        </is>
      </c>
      <c r="B5" s="17" t="inlineStr">
        <is>
          <t>NEWS</t>
        </is>
      </c>
      <c r="C5" s="17" t="inlineStr">
        <is>
          <t>사외</t>
        </is>
      </c>
      <c r="D5" s="18" t="n"/>
      <c r="E5" s="17" t="str">
        <f>IFERROR(INDEX('소스별_상세'!$I$5:$I$49,MATCH($A5&amp;"|"&amp;E$4,'소스별_상세'!$L$5:$L$49,0)),"")&amp;" · 재송고 중복 (P1)"</f>
        <v>확인중 · 재송고 중복 (P1)</v>
      </c>
      <c r="F5" s="17" t="str">
        <f>IFERROR(INDEX('소스별_상세'!$I$5:$I$49,MATCH($A5&amp;"|"&amp;F$4,'소스별_상세'!$L$5:$L$49,0)),"")&amp;" · 본문만 추출 (P1)"</f>
        <v>미확인 · 본문만 추출 (P1)</v>
      </c>
      <c r="G5" s="17" t="str">
        <f>IFERROR(INDEX('소스별_상세'!$I$5:$I$49,MATCH($A5&amp;"|"&amp;G$4,'소스별_상세'!$L$5:$L$49,0)),"")&amp;" · 기사 단위 (P0)"</f>
        <v>미확인 · 기사 단위 (P0)</v>
      </c>
      <c r="H5" s="17" t="str">
        <f>IFERROR(INDEX('소스별_상세'!$I$5:$I$49,MATCH($A5&amp;"|"&amp;H$4,'소스별_상세'!$L$5:$L$49,0)),"")&amp;" · 태그 = 센싱 기반 (P0)"</f>
        <v>미확인 · 태그 = 센싱 기반 (P0)</v>
      </c>
      <c r="I5" s="17" t="str">
        <f>IFERROR(INDEX('소스별_상세'!$I$5:$I$49,MATCH($A5&amp;"|"&amp;I$4,'소스별_상세'!$L$5:$L$49,0)),"")&amp;" · 전체 공개 (P2)"</f>
        <v>미확인 · 전체 공개 (P2)</v>
      </c>
      <c r="J5" s="17" t="inlineStr">
        <is>
          <t>0</t>
        </is>
      </c>
    </row>
    <row r="6" ht="34" customHeight="1">
      <c r="A6" s="16" t="inlineStr">
        <is>
          <t>증권사 리포트</t>
        </is>
      </c>
      <c r="B6" s="17" t="inlineStr">
        <is>
          <t>BROKER</t>
        </is>
      </c>
      <c r="C6" s="17" t="inlineStr">
        <is>
          <t>사외</t>
        </is>
      </c>
      <c r="D6" s="18" t="n"/>
      <c r="E6" s="17" t="str">
        <f>IFERROR(INDEX('소스별_상세'!$I$5:$I$49,MATCH($A6&amp;"|"&amp;E$4,'소스별_상세'!$L$5:$L$49,0)),"")&amp;" · 수정본 처리 (P1)"</f>
        <v>확인중 · 수정본 처리 (P1)</v>
      </c>
      <c r="F6" s="17" t="str">
        <f>IFERROR(INDEX('소스별_상세'!$I$5:$I$49,MATCH($A6&amp;"|"&amp;F$4,'소스별_상세'!$L$5:$L$49,0)),"")&amp;" · 표 · 수치 보존 (P0)"</f>
        <v>미확인 · 표 · 수치 보존 (P0)</v>
      </c>
      <c r="G6" s="17" t="str">
        <f>IFERROR(INDEX('소스별_상세'!$I$5:$I$49,MATCH($A6&amp;"|"&amp;G$4,'소스별_상세'!$L$5:$L$49,0)),"")&amp;" · 섹션 + 표 분리 (P0)"</f>
        <v>미확인 · 섹션 + 표 분리 (P0)</v>
      </c>
      <c r="H6" s="17" t="str">
        <f>IFERROR(INDEX('소스별_상세'!$I$5:$I$49,MATCH($A6&amp;"|"&amp;H$4,'소스별_상세'!$L$5:$L$49,0)),"")&amp;" · 증권사 · 종목 (P1)"</f>
        <v>미확인 · 증권사 · 종목 (P1)</v>
      </c>
      <c r="I6" s="17" t="str">
        <f>IFERROR(INDEX('소스별_상세'!$I$5:$I$49,MATCH($A6&amp;"|"&amp;I$4,'소스별_상세'!$L$5:$L$49,0)),"")&amp;" · 구독 범위 (P1)"</f>
        <v>미확인 · 구독 범위 (P1)</v>
      </c>
      <c r="J6" s="17" t="inlineStr">
        <is>
          <t>0~1</t>
        </is>
      </c>
    </row>
    <row r="7" ht="34" customHeight="1">
      <c r="A7" s="16" t="inlineStr">
        <is>
          <t>기관 보고서</t>
        </is>
      </c>
      <c r="B7" s="17" t="inlineStr">
        <is>
          <t>INSTITUTION</t>
        </is>
      </c>
      <c r="C7" s="17" t="inlineStr">
        <is>
          <t>사외</t>
        </is>
      </c>
      <c r="D7" s="18" t="n"/>
      <c r="E7" s="17" t="str">
        <f>IFERROR(INDEX('소스별_상세'!$I$5:$I$49,MATCH($A7&amp;"|"&amp;E$4,'소스별_상세'!$L$5:$L$49,0)),"")&amp;" · 정기본 누락 (P1)"</f>
        <v>확인중 · 정기본 누락 (P1)</v>
      </c>
      <c r="F7" s="17" t="str">
        <f>IFERROR(INDEX('소스별_상세'!$I$5:$I$49,MATCH($A7&amp;"|"&amp;F$4,'소스별_상세'!$L$5:$L$49,0)),"")&amp;" · 헤딩 · 표 (P1)"</f>
        <v>미확인 · 헤딩 · 표 (P1)</v>
      </c>
      <c r="G7" s="17" t="str">
        <f>IFERROR(INDEX('소스별_상세'!$I$5:$I$49,MATCH($A7&amp;"|"&amp;G$4,'소스별_상세'!$L$5:$L$49,0)),"")&amp;" · 헤딩 단위 (P1)"</f>
        <v>미확인 · 헤딩 단위 (P1)</v>
      </c>
      <c r="H7" s="17" t="str">
        <f>IFERROR(INDEX('소스별_상세'!$I$5:$I$49,MATCH($A7&amp;"|"&amp;H$4,'소스별_상세'!$L$5:$L$49,0)),"")&amp;" · 기준 시점 ≠ 발행일 (P0)"</f>
        <v>미확인 · 기준 시점 ≠ 발행일 (P0)</v>
      </c>
      <c r="I7" s="17" t="str">
        <f>IFERROR(INDEX('소스별_상세'!$I$5:$I$49,MATCH($A7&amp;"|"&amp;I$4,'소스별_상세'!$L$5:$L$49,0)),"")&amp;" · 라이선스 (P2)"</f>
        <v>미확인 · 라이선스 (P2)</v>
      </c>
      <c r="J7" s="17" t="inlineStr">
        <is>
          <t>0~1</t>
        </is>
      </c>
    </row>
    <row r="8" ht="34" customHeight="1">
      <c r="A8" s="16" t="inlineStr">
        <is>
          <t>메일</t>
        </is>
      </c>
      <c r="B8" s="17" t="inlineStr">
        <is>
          <t>EMAIL</t>
        </is>
      </c>
      <c r="C8" s="17" t="inlineStr">
        <is>
          <t>사내</t>
        </is>
      </c>
      <c r="D8" s="18" t="n"/>
      <c r="E8" s="17" t="str">
        <f>IFERROR(INDEX('소스별_상세'!$I$5:$I$49,MATCH($A8&amp;"|"&amp;E$4,'소스별_상세'!$L$5:$L$49,0)),"")&amp;" · 대상 범위 · 첨부 (P0)"</f>
        <v>확인중 · 대상 범위 · 첨부 (P0)</v>
      </c>
      <c r="F8" s="17" t="str">
        <f>IFERROR(INDEX('소스별_상세'!$I$5:$I$49,MATCH($A8&amp;"|"&amp;F$4,'소스별_상세'!$L$5:$L$49,0)),"")&amp;" · 인용 · 서명 제거 (P0)"</f>
        <v>미확인 · 인용 · 서명 제거 (P0)</v>
      </c>
      <c r="G8" s="17" t="str">
        <f>IFERROR(INDEX('소스별_상세'!$I$5:$I$49,MATCH($A8&amp;"|"&amp;G$4,'소스별_상세'!$L$5:$L$49,0)),"")&amp;" · 스레드 단위 (P0)"</f>
        <v>미확인 · 스레드 단위 (P0)</v>
      </c>
      <c r="H8" s="17" t="str">
        <f>IFERROR(INDEX('소스별_상세'!$I$5:$I$49,MATCH($A8&amp;"|"&amp;H$4,'소스별_상세'!$L$5:$L$49,0)),"")&amp;" · thread_id (P1)"</f>
        <v>미확인 · thread_id (P1)</v>
      </c>
      <c r="I8" s="17" t="str">
        <f>IFERROR(INDEX('소스별_상세'!$I$5:$I$49,MATCH($A8&amp;"|"&amp;I$4,'소스별_상세'!$L$5:$L$49,0)),"")&amp;" · 발신 + 수신자만 (P0)"</f>
        <v>미확인 · 발신 + 수신자만 (P0)</v>
      </c>
      <c r="J8" s="17" t="inlineStr">
        <is>
          <t>1~2</t>
        </is>
      </c>
    </row>
    <row r="9" ht="34" customHeight="1">
      <c r="A9" s="16" t="inlineStr">
        <is>
          <t>회의록</t>
        </is>
      </c>
      <c r="B9" s="17" t="inlineStr">
        <is>
          <t>MEETING</t>
        </is>
      </c>
      <c r="C9" s="17" t="inlineStr">
        <is>
          <t>사내</t>
        </is>
      </c>
      <c r="D9" s="18" t="n"/>
      <c r="E9" s="17" t="str">
        <f>IFERROR(INDEX('소스별_상세'!$I$5:$I$49,MATCH($A9&amp;"|"&amp;E$4,'소스별_상세'!$L$5:$L$49,0)),"")&amp;" · 양식 통일 (P1)"</f>
        <v>확인중 · 양식 통일 (P1)</v>
      </c>
      <c r="F9" s="17" t="str">
        <f>IFERROR(INDEX('소스별_상세'!$I$5:$I$49,MATCH($A9&amp;"|"&amp;F$4,'소스별_상세'!$L$5:$L$49,0)),"")&amp;" · 안건 구조 (P1)"</f>
        <v>미확인 · 안건 구조 (P1)</v>
      </c>
      <c r="G9" s="17" t="str">
        <f>IFERROR(INDEX('소스별_상세'!$I$5:$I$49,MATCH($A9&amp;"|"&amp;G$4,'소스별_상세'!$L$5:$L$49,0)),"")&amp;" · 안건 단위 (P0)"</f>
        <v>미확인 · 안건 단위 (P0)</v>
      </c>
      <c r="H9" s="17" t="str">
        <f>IFERROR(INDEX('소스별_상세'!$I$5:$I$49,MATCH($A9&amp;"|"&amp;H$4,'소스별_상세'!$L$5:$L$49,0)),"")&amp;" · 참석자 · 과제 (P1)"</f>
        <v>미확인 · 참석자 · 과제 (P1)</v>
      </c>
      <c r="I9" s="17" t="str">
        <f>IFERROR(INDEX('소스별_상세'!$I$5:$I$49,MATCH($A9&amp;"|"&amp;I$4,'소스별_상세'!$L$5:$L$49,0)),"")&amp;" · 참석자 + 부서 (P0)"</f>
        <v>미확인 · 참석자 + 부서 (P0)</v>
      </c>
      <c r="J9" s="17" t="inlineStr">
        <is>
          <t>1~2</t>
        </is>
      </c>
    </row>
    <row r="10" ht="34" customHeight="1">
      <c r="A10" s="16" t="inlineStr">
        <is>
          <t>사내 보고서</t>
        </is>
      </c>
      <c r="B10" s="17" t="inlineStr">
        <is>
          <t>REPORT</t>
        </is>
      </c>
      <c r="C10" s="17" t="inlineStr">
        <is>
          <t>사내</t>
        </is>
      </c>
      <c r="D10" s="18" t="n"/>
      <c r="E10" s="17" t="str">
        <f>IFERROR(INDEX('소스별_상세'!$I$5:$I$49,MATCH($A10&amp;"|"&amp;E$4,'소스별_상세'!$L$5:$L$49,0)),"")&amp;" · 최종본 · 버전 (P0)"</f>
        <v>확인중 · 최종본 · 버전 (P0)</v>
      </c>
      <c r="F10" s="17" t="str">
        <f>IFERROR(INDEX('소스별_상세'!$I$5:$I$49,MATCH($A10&amp;"|"&amp;F$4,'소스별_상세'!$L$5:$L$49,0)),"")&amp;" · 형식 혼합 (P1)"</f>
        <v>미확인 · 형식 혼합 (P1)</v>
      </c>
      <c r="G10" s="17" t="str">
        <f>IFERROR(INDEX('소스별_상세'!$I$5:$I$49,MATCH($A10&amp;"|"&amp;G$4,'소스별_상세'!$L$5:$L$49,0)),"")&amp;" · 슬라이드 단위 (P1)"</f>
        <v>미확인 · 슬라이드 단위 (P1)</v>
      </c>
      <c r="H10" s="17" t="str">
        <f>IFERROR(INDEX('소스별_상세'!$I$5:$I$49,MATCH($A10&amp;"|"&amp;H$4,'소스별_상세'!$L$5:$L$49,0)),"")&amp;" · 보안등급 (P0)"</f>
        <v>미확인 · 보안등급 (P0)</v>
      </c>
      <c r="I10" s="17" t="str">
        <f>IFERROR(INDEX('소스별_상세'!$I$5:$I$49,MATCH($A10&amp;"|"&amp;I$4,'소스별_상세'!$L$5:$L$49,0)),"")&amp;" · 등급 + 부서 (P0)"</f>
        <v>미확인 · 등급 + 부서 (P0)</v>
      </c>
      <c r="J10" s="17" t="inlineStr">
        <is>
          <t>1~2</t>
        </is>
      </c>
    </row>
    <row r="11" ht="34" customHeight="1">
      <c r="A11" s="16" t="inlineStr">
        <is>
          <t>지식문서</t>
        </is>
      </c>
      <c r="B11" s="17" t="inlineStr">
        <is>
          <t>KNOWLEDGE</t>
        </is>
      </c>
      <c r="C11" s="17" t="inlineStr">
        <is>
          <t>사내</t>
        </is>
      </c>
      <c r="D11" s="18" t="n"/>
      <c r="E11" s="17" t="str">
        <f>IFERROR(INDEX('소스별_상세'!$I$5:$I$49,MATCH($A11&amp;"|"&amp;E$4,'소스별_상세'!$L$5:$L$49,0)),"")&amp;" · 최신본만 (P1)"</f>
        <v>확인중 · 최신본만 (P1)</v>
      </c>
      <c r="F11" s="17" t="str">
        <f>IFERROR(INDEX('소스별_상세'!$I$5:$I$49,MATCH($A11&amp;"|"&amp;F$4,'소스별_상세'!$L$5:$L$49,0)),"")&amp;" · 헤딩 보존 (P2)"</f>
        <v>미확인 · 헤딩 보존 (P2)</v>
      </c>
      <c r="G11" s="17" t="str">
        <f>IFERROR(INDEX('소스별_상세'!$I$5:$I$49,MATCH($A11&amp;"|"&amp;G$4,'소스별_상세'!$L$5:$L$49,0)),"")&amp;" · 헤딩 단위 (P1)"</f>
        <v>미확인 · 헤딩 단위 (P1)</v>
      </c>
      <c r="H11" s="17" t="str">
        <f>IFERROR(INDEX('소스별_상세'!$I$5:$I$49,MATCH($A11&amp;"|"&amp;H$4,'소스별_상세'!$L$5:$L$49,0)),"")&amp;" · 최종 수정일 (P1)"</f>
        <v>미확인 · 최종 수정일 (P1)</v>
      </c>
      <c r="I11" s="17" t="str">
        <f>IFERROR(INDEX('소스별_상세'!$I$5:$I$49,MATCH($A11&amp;"|"&amp;I$4,'소스별_상세'!$L$5:$L$49,0)),"")&amp;" · 사내 전체 (P2)"</f>
        <v>미확인 · 사내 전체 (P2)</v>
      </c>
      <c r="J11" s="17" t="inlineStr">
        <is>
          <t>1</t>
        </is>
      </c>
    </row>
    <row r="12" ht="34" customHeight="1">
      <c r="A12" s="16" t="inlineStr">
        <is>
          <t>엔지니어 보고서</t>
        </is>
      </c>
      <c r="B12" s="17" t="inlineStr">
        <is>
          <t>ENG_REPORT</t>
        </is>
      </c>
      <c r="C12" s="17" t="inlineStr">
        <is>
          <t>사내</t>
        </is>
      </c>
      <c r="D12" s="18" t="n"/>
      <c r="E12" s="17" t="str">
        <f>IFERROR(INDEX('소스별_상세'!$I$5:$I$49,MATCH($A12&amp;"|"&amp;E$4,'소스별_상세'!$L$5:$L$49,0)),"")&amp;" · 과제별 범위 (P1)"</f>
        <v>확인중 · 과제별 범위 (P1)</v>
      </c>
      <c r="F12" s="17" t="str">
        <f>IFERROR(INDEX('소스별_상세'!$I$5:$I$49,MATCH($A12&amp;"|"&amp;F$4,'소스별_상세'!$L$5:$L$49,0)),"")&amp;" · 측정 표 · 약어 (P1)"</f>
        <v>미확인 · 측정 표 · 약어 (P1)</v>
      </c>
      <c r="G12" s="17" t="str">
        <f>IFERROR(INDEX('소스별_상세'!$I$5:$I$49,MATCH($A12&amp;"|"&amp;G$4,'소스별_상세'!$L$5:$L$49,0)),"")&amp;" · 섹션 + 표 (P1)"</f>
        <v>미확인 · 섹션 + 표 (P1)</v>
      </c>
      <c r="H12" s="17" t="str">
        <f>IFERROR(INDEX('소스별_상세'!$I$5:$I$49,MATCH($A12&amp;"|"&amp;H$4,'소스별_상세'!$L$5:$L$49,0)),"")&amp;" · 공정 · 제품 (P1)"</f>
        <v>미확인 · 공정 · 제품 (P1)</v>
      </c>
      <c r="I12" s="17" t="str">
        <f>IFERROR(INDEX('소스별_상세'!$I$5:$I$49,MATCH($A12&amp;"|"&amp;I$4,'소스별_상세'!$L$5:$L$49,0)),"")&amp;" · 과제 그룹 (P0)"</f>
        <v>미확인 · 과제 그룹 (P0)</v>
      </c>
      <c r="J12" s="17" t="inlineStr">
        <is>
          <t>1~2</t>
        </is>
      </c>
    </row>
    <row r="13" ht="34" customHeight="1">
      <c r="A13" s="16" t="inlineStr">
        <is>
          <t>임원 보고서</t>
        </is>
      </c>
      <c r="B13" s="17" t="inlineStr">
        <is>
          <t>EXEC_REPORT</t>
        </is>
      </c>
      <c r="C13" s="17" t="inlineStr">
        <is>
          <t>사내</t>
        </is>
      </c>
      <c r="D13" s="18" t="n"/>
      <c r="E13" s="17" t="str">
        <f>IFERROR(INDEX('소스별_상세'!$I$5:$I$49,MATCH($A13&amp;"|"&amp;E$4,'소스별_상세'!$L$5:$L$49,0)),"")&amp;" · 최종본 (P1)"</f>
        <v>확인중 · 최종본 (P1)</v>
      </c>
      <c r="F13" s="17" t="str">
        <f>IFERROR(INDEX('소스별_상세'!$I$5:$I$49,MATCH($A13&amp;"|"&amp;F$4,'소스별_상세'!$L$5:$L$49,0)),"")&amp;" · 요약 슬라이드 (P1)"</f>
        <v>미확인 · 요약 슬라이드 (P1)</v>
      </c>
      <c r="G13" s="17" t="str">
        <f>IFERROR(INDEX('소스별_상세'!$I$5:$I$49,MATCH($A13&amp;"|"&amp;G$4,'소스별_상세'!$L$5:$L$49,0)),"")&amp;" · 슬라이드 단위 (P1)"</f>
        <v>미확인 · 슬라이드 단위 (P1)</v>
      </c>
      <c r="H13" s="17" t="str">
        <f>IFERROR(INDEX('소스별_상세'!$I$5:$I$49,MATCH($A13&amp;"|"&amp;H$4,'소스별_상세'!$L$5:$L$49,0)),"")&amp;" · 등급 3 (P1)"</f>
        <v>미확인 · 등급 3 (P1)</v>
      </c>
      <c r="I13" s="17" t="str">
        <f>IFERROR(INDEX('소스별_상세'!$I$5:$I$49,MATCH($A13&amp;"|"&amp;I$4,'소스별_상세'!$L$5:$L$49,0)),"")&amp;" · 결재선만 · 누출 테스트 (P0)"</f>
        <v>미확인 · 결재선만 · 누출 테스트 (P0)</v>
      </c>
      <c r="J13" s="17" t="inlineStr">
        <is>
          <t>3</t>
        </is>
      </c>
    </row>
  </sheetData>
  <autoFilter ref="A4:J13"/>
  <mergeCells count="2">
    <mergeCell ref="A1:J1"/>
    <mergeCell ref="A2:J2"/>
  </mergeCells>
  <conditionalFormatting sqref="E5:I13">
    <cfRule type="expression" priority="1" dxfId="0">
      <formula>LEFT(E5,2)="완료"</formula>
    </cfRule>
    <cfRule type="expression" priority="2" dxfId="1">
      <formula>LEFT(E5,3)="확인중"</formula>
    </cfRule>
  </conditionalFormatting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49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6" customWidth="1" min="3" max="3"/>
    <col width="7" customWidth="1" min="4" max="4"/>
    <col width="38" customWidth="1" min="5" max="5"/>
    <col width="28" customWidth="1" min="6" max="6"/>
    <col width="38" customWidth="1" min="7" max="7"/>
    <col width="6" customWidth="1" min="8" max="8"/>
    <col width="9" customWidth="1" min="9" max="9"/>
    <col width="8" customWidth="1" min="10" max="10"/>
    <col width="22" customWidth="1" min="11" max="11"/>
    <col width="14" customWidth="1" min="12" max="12"/>
  </cols>
  <sheetData>
    <row r="1">
      <c r="A1" s="1" t="inlineStr">
        <is>
          <t>소스별 상세 — 소스마다 수집 · 파싱 · 청킹 · 메타 · 권한</t>
        </is>
      </c>
    </row>
    <row r="2">
      <c r="A2" s="2" t="inlineStr">
        <is>
          <t>연노랑 칸만 입력 · L열(키)은 매트릭스 연결용 수식</t>
        </is>
      </c>
    </row>
    <row r="4">
      <c r="A4" s="3" t="inlineStr">
        <is>
          <t>소스</t>
        </is>
      </c>
      <c r="B4" s="3" t="inlineStr">
        <is>
          <t>DOC_TYPE</t>
        </is>
      </c>
      <c r="C4" s="3" t="inlineStr">
        <is>
          <t>구분</t>
        </is>
      </c>
      <c r="D4" s="3" t="inlineStr">
        <is>
          <t>단계</t>
        </is>
      </c>
      <c r="E4" s="3" t="inlineStr">
        <is>
          <t>체크 항목</t>
        </is>
      </c>
      <c r="F4" s="3" t="inlineStr">
        <is>
          <t>현 수준</t>
        </is>
      </c>
      <c r="G4" s="3" t="inlineStr">
        <is>
          <t>필요사항</t>
        </is>
      </c>
      <c r="H4" s="3" t="inlineStr">
        <is>
          <t>우선</t>
        </is>
      </c>
      <c r="I4" s="3" t="inlineStr">
        <is>
          <t>상태</t>
        </is>
      </c>
      <c r="J4" s="3" t="inlineStr">
        <is>
          <t>보안등급</t>
        </is>
      </c>
      <c r="K4" s="3" t="inlineStr">
        <is>
          <t>메모</t>
        </is>
      </c>
      <c r="L4" s="3" t="inlineStr">
        <is>
          <t>키</t>
        </is>
      </c>
    </row>
    <row r="5">
      <c r="A5" s="19" t="inlineStr">
        <is>
          <t>뉴스</t>
        </is>
      </c>
      <c r="B5" s="17" t="inlineStr">
        <is>
          <t>NEWS</t>
        </is>
      </c>
      <c r="C5" s="17" t="inlineStr">
        <is>
          <t>사외</t>
        </is>
      </c>
      <c r="D5" s="17" t="inlineStr">
        <is>
          <t>수집</t>
        </is>
      </c>
      <c r="E5" s="5" t="inlineStr">
        <is>
          <t>매체 목록 · 수집 주기 · 재송고 중복</t>
        </is>
      </c>
      <c r="F5" s="6" t="inlineStr">
        <is>
          <t>공통: doc id · 중복 체크 · 날짜 분리 확인</t>
        </is>
      </c>
      <c r="G5" s="5" t="inlineStr">
        <is>
          <t>재송고 근사 중복(MinHash) — 센싱에도 필수</t>
        </is>
      </c>
      <c r="H5" s="17" t="inlineStr">
        <is>
          <t>P1</t>
        </is>
      </c>
      <c r="I5" s="18" t="inlineStr">
        <is>
          <t>확인중</t>
        </is>
      </c>
      <c r="J5" s="17" t="inlineStr">
        <is>
          <t>0</t>
        </is>
      </c>
      <c r="K5" s="6" t="inlineStr"/>
      <c r="L5" s="20" t="str">
        <f>A5&amp;"|"&amp;D5</f>
        <v>뉴스|수집</v>
      </c>
    </row>
    <row r="6">
      <c r="A6" s="19" t="inlineStr">
        <is>
          <t>뉴스</t>
        </is>
      </c>
      <c r="B6" s="17" t="inlineStr">
        <is>
          <t>NEWS</t>
        </is>
      </c>
      <c r="C6" s="17" t="inlineStr">
        <is>
          <t>사외</t>
        </is>
      </c>
      <c r="D6" s="17" t="inlineStr">
        <is>
          <t>파싱</t>
        </is>
      </c>
      <c r="E6" s="5" t="inlineStr">
        <is>
          <t>HTML 본문만 추출되는지 (광고 · 관련기사 · 기자 정보 제거)</t>
        </is>
      </c>
      <c r="F6" s="6" t="inlineStr"/>
      <c r="G6" s="5" t="inlineStr">
        <is>
          <t>본문 추출 규칙 점검 (샘플 10건)</t>
        </is>
      </c>
      <c r="H6" s="17" t="inlineStr">
        <is>
          <t>P1</t>
        </is>
      </c>
      <c r="I6" s="18" t="inlineStr">
        <is>
          <t>미확인</t>
        </is>
      </c>
      <c r="J6" s="17" t="inlineStr">
        <is>
          <t>0</t>
        </is>
      </c>
      <c r="K6" s="6" t="inlineStr"/>
      <c r="L6" s="20" t="str">
        <f>A6&amp;"|"&amp;D6</f>
        <v>뉴스|파싱</v>
      </c>
    </row>
    <row r="7">
      <c r="A7" s="19" t="inlineStr">
        <is>
          <t>뉴스</t>
        </is>
      </c>
      <c r="B7" s="17" t="inlineStr">
        <is>
          <t>NEWS</t>
        </is>
      </c>
      <c r="C7" s="17" t="inlineStr">
        <is>
          <t>사외</t>
        </is>
      </c>
      <c r="D7" s="17" t="inlineStr">
        <is>
          <t>청킹</t>
        </is>
      </c>
      <c r="E7" s="5" t="inlineStr">
        <is>
          <t>기사 1건이 몇 청크로 쪼개지는지</t>
        </is>
      </c>
      <c r="F7" s="6" t="inlineStr"/>
      <c r="G7" s="5" t="inlineStr">
        <is>
          <t>기사 = 1~2청크, 제목을 헤더로</t>
        </is>
      </c>
      <c r="H7" s="17" t="inlineStr">
        <is>
          <t>P0</t>
        </is>
      </c>
      <c r="I7" s="18" t="inlineStr">
        <is>
          <t>미확인</t>
        </is>
      </c>
      <c r="J7" s="17" t="inlineStr">
        <is>
          <t>0</t>
        </is>
      </c>
      <c r="K7" s="6" t="inlineStr"/>
      <c r="L7" s="20" t="str">
        <f>A7&amp;"|"&amp;D7</f>
        <v>뉴스|청킹</v>
      </c>
    </row>
    <row r="8">
      <c r="A8" s="19" t="inlineStr">
        <is>
          <t>뉴스</t>
        </is>
      </c>
      <c r="B8" s="17" t="inlineStr">
        <is>
          <t>NEWS</t>
        </is>
      </c>
      <c r="C8" s="17" t="inlineStr">
        <is>
          <t>사외</t>
        </is>
      </c>
      <c r="D8" s="17" t="inlineStr">
        <is>
          <t>메타</t>
        </is>
      </c>
      <c r="E8" s="5" t="inlineStr">
        <is>
          <t>발행일시 · 언론사 · 기자 · URL · 카테고리</t>
        </is>
      </c>
      <c r="F8" s="6" t="inlineStr"/>
      <c r="G8" s="5" t="inlineStr">
        <is>
          <t>+ 회사 · 제품 태그 (센싱 핵심)</t>
        </is>
      </c>
      <c r="H8" s="17" t="inlineStr">
        <is>
          <t>P0</t>
        </is>
      </c>
      <c r="I8" s="18" t="inlineStr">
        <is>
          <t>미확인</t>
        </is>
      </c>
      <c r="J8" s="17" t="inlineStr">
        <is>
          <t>0</t>
        </is>
      </c>
      <c r="K8" s="6" t="inlineStr"/>
      <c r="L8" s="20" t="str">
        <f>A8&amp;"|"&amp;D8</f>
        <v>뉴스|메타</v>
      </c>
    </row>
    <row r="9">
      <c r="A9" s="19" t="inlineStr">
        <is>
          <t>뉴스</t>
        </is>
      </c>
      <c r="B9" s="17" t="inlineStr">
        <is>
          <t>NEWS</t>
        </is>
      </c>
      <c r="C9" s="17" t="inlineStr">
        <is>
          <t>사외</t>
        </is>
      </c>
      <c r="D9" s="17" t="inlineStr">
        <is>
          <t>권한</t>
        </is>
      </c>
      <c r="E9" s="5" t="inlineStr">
        <is>
          <t>공개 문서 처리</t>
        </is>
      </c>
      <c r="F9" s="6" t="inlineStr"/>
      <c r="G9" s="5" t="inlineStr">
        <is>
          <t>보안등급 0, ACL = ALL</t>
        </is>
      </c>
      <c r="H9" s="17" t="inlineStr">
        <is>
          <t>P2</t>
        </is>
      </c>
      <c r="I9" s="18" t="inlineStr">
        <is>
          <t>미확인</t>
        </is>
      </c>
      <c r="J9" s="17" t="inlineStr">
        <is>
          <t>0</t>
        </is>
      </c>
      <c r="K9" s="6" t="inlineStr"/>
      <c r="L9" s="20" t="str">
        <f>A9&amp;"|"&amp;D9</f>
        <v>뉴스|권한</v>
      </c>
    </row>
    <row r="10">
      <c r="A10" s="19" t="inlineStr">
        <is>
          <t>증권사 리포트</t>
        </is>
      </c>
      <c r="B10" s="17" t="inlineStr">
        <is>
          <t>BROKER</t>
        </is>
      </c>
      <c r="C10" s="17" t="inlineStr">
        <is>
          <t>사외</t>
        </is>
      </c>
      <c r="D10" s="17" t="inlineStr">
        <is>
          <t>수집</t>
        </is>
      </c>
      <c r="E10" s="5" t="inlineStr">
        <is>
          <t>증권사 · 구독 범위 · PDF 수신 경로</t>
        </is>
      </c>
      <c r="F10" s="6" t="inlineStr">
        <is>
          <t>공통: doc id · 중복 체크 · 날짜 분리 확인</t>
        </is>
      </c>
      <c r="G10" s="5" t="inlineStr">
        <is>
          <t>같은 리포트 재수신 · 수정본 처리</t>
        </is>
      </c>
      <c r="H10" s="17" t="inlineStr">
        <is>
          <t>P1</t>
        </is>
      </c>
      <c r="I10" s="18" t="inlineStr">
        <is>
          <t>확인중</t>
        </is>
      </c>
      <c r="J10" s="17" t="inlineStr">
        <is>
          <t>0~1</t>
        </is>
      </c>
      <c r="K10" s="6" t="inlineStr"/>
      <c r="L10" s="20" t="str">
        <f>A10&amp;"|"&amp;D10</f>
        <v>증권사 리포트|수집</v>
      </c>
    </row>
    <row r="11">
      <c r="A11" s="19" t="inlineStr">
        <is>
          <t>증권사 리포트</t>
        </is>
      </c>
      <c r="B11" s="17" t="inlineStr">
        <is>
          <t>BROKER</t>
        </is>
      </c>
      <c r="C11" s="17" t="inlineStr">
        <is>
          <t>사외</t>
        </is>
      </c>
      <c r="D11" s="17" t="inlineStr">
        <is>
          <t>파싱</t>
        </is>
      </c>
      <c r="E11" s="5" t="inlineStr">
        <is>
          <t>표 · 차트 수치가 텍스트로 살아 있는지, 면책 문구 반복</t>
        </is>
      </c>
      <c r="F11" s="6" t="inlineStr"/>
      <c r="G11" s="5" t="inlineStr">
        <is>
          <t>표는 Markdown 표로, 면책 · 머리글 제거</t>
        </is>
      </c>
      <c r="H11" s="17" t="inlineStr">
        <is>
          <t>P0</t>
        </is>
      </c>
      <c r="I11" s="18" t="inlineStr">
        <is>
          <t>미확인</t>
        </is>
      </c>
      <c r="J11" s="17" t="inlineStr">
        <is>
          <t>0~1</t>
        </is>
      </c>
      <c r="K11" s="6" t="inlineStr"/>
      <c r="L11" s="20" t="str">
        <f>A11&amp;"|"&amp;D11</f>
        <v>증권사 리포트|파싱</v>
      </c>
    </row>
    <row r="12">
      <c r="A12" s="19" t="inlineStr">
        <is>
          <t>증권사 리포트</t>
        </is>
      </c>
      <c r="B12" s="17" t="inlineStr">
        <is>
          <t>BROKER</t>
        </is>
      </c>
      <c r="C12" s="17" t="inlineStr">
        <is>
          <t>사외</t>
        </is>
      </c>
      <c r="D12" s="17" t="inlineStr">
        <is>
          <t>청킹</t>
        </is>
      </c>
      <c r="E12" s="5" t="inlineStr">
        <is>
          <t>섹션 · 표가 중간에 잘리는지</t>
        </is>
      </c>
      <c r="F12" s="6" t="inlineStr"/>
      <c r="G12" s="5" t="inlineStr">
        <is>
          <t>섹션 단위 + 표는 별도 청크</t>
        </is>
      </c>
      <c r="H12" s="17" t="inlineStr">
        <is>
          <t>P0</t>
        </is>
      </c>
      <c r="I12" s="18" t="inlineStr">
        <is>
          <t>미확인</t>
        </is>
      </c>
      <c r="J12" s="17" t="inlineStr">
        <is>
          <t>0~1</t>
        </is>
      </c>
      <c r="K12" s="6" t="inlineStr"/>
      <c r="L12" s="20" t="str">
        <f>A12&amp;"|"&amp;D12</f>
        <v>증권사 리포트|청킹</v>
      </c>
    </row>
    <row r="13">
      <c r="A13" s="19" t="inlineStr">
        <is>
          <t>증권사 리포트</t>
        </is>
      </c>
      <c r="B13" s="17" t="inlineStr">
        <is>
          <t>BROKER</t>
        </is>
      </c>
      <c r="C13" s="17" t="inlineStr">
        <is>
          <t>사외</t>
        </is>
      </c>
      <c r="D13" s="17" t="inlineStr">
        <is>
          <t>메타</t>
        </is>
      </c>
      <c r="E13" s="5" t="inlineStr">
        <is>
          <t>발행일 · 증권사 · 애널리스트 · 대상 종목/산업</t>
        </is>
      </c>
      <c r="F13" s="6" t="inlineStr"/>
      <c r="G13" s="5" t="inlineStr">
        <is>
          <t>+ 투자의견 · 목표가 (JSON)</t>
        </is>
      </c>
      <c r="H13" s="17" t="inlineStr">
        <is>
          <t>P1</t>
        </is>
      </c>
      <c r="I13" s="18" t="inlineStr">
        <is>
          <t>미확인</t>
        </is>
      </c>
      <c r="J13" s="17" t="inlineStr">
        <is>
          <t>0~1</t>
        </is>
      </c>
      <c r="K13" s="6" t="inlineStr"/>
      <c r="L13" s="20" t="str">
        <f>A13&amp;"|"&amp;D13</f>
        <v>증권사 리포트|메타</v>
      </c>
    </row>
    <row r="14">
      <c r="A14" s="19" t="inlineStr">
        <is>
          <t>증권사 리포트</t>
        </is>
      </c>
      <c r="B14" s="17" t="inlineStr">
        <is>
          <t>BROKER</t>
        </is>
      </c>
      <c r="C14" s="17" t="inlineStr">
        <is>
          <t>사외</t>
        </is>
      </c>
      <c r="D14" s="17" t="inlineStr">
        <is>
          <t>권한</t>
        </is>
      </c>
      <c r="E14" s="5" t="inlineStr">
        <is>
          <t>구독 계약상 재배포 범위</t>
        </is>
      </c>
      <c r="F14" s="6" t="inlineStr"/>
      <c r="G14" s="5" t="inlineStr">
        <is>
          <t>계약 범위 내 부서 · 그룹으로 제한</t>
        </is>
      </c>
      <c r="H14" s="17" t="inlineStr">
        <is>
          <t>P1</t>
        </is>
      </c>
      <c r="I14" s="18" t="inlineStr">
        <is>
          <t>미확인</t>
        </is>
      </c>
      <c r="J14" s="17" t="inlineStr">
        <is>
          <t>0~1</t>
        </is>
      </c>
      <c r="K14" s="6" t="inlineStr"/>
      <c r="L14" s="20" t="str">
        <f>A14&amp;"|"&amp;D14</f>
        <v>증권사 리포트|권한</v>
      </c>
    </row>
    <row r="15">
      <c r="A15" s="19" t="inlineStr">
        <is>
          <t>기관 보고서</t>
        </is>
      </c>
      <c r="B15" s="17" t="inlineStr">
        <is>
          <t>INSTITUTION</t>
        </is>
      </c>
      <c r="C15" s="17" t="inlineStr">
        <is>
          <t>사외</t>
        </is>
      </c>
      <c r="D15" s="17" t="inlineStr">
        <is>
          <t>수집</t>
        </is>
      </c>
      <c r="E15" s="5" t="inlineStr">
        <is>
          <t>기관 목록 · 유료/무료 · 발행 주기</t>
        </is>
      </c>
      <c r="F15" s="6" t="inlineStr">
        <is>
          <t>공통: doc id · 중복 체크 · 날짜 분리 확인</t>
        </is>
      </c>
      <c r="G15" s="5" t="inlineStr">
        <is>
          <t>정기 보고서 누락 여부 점검</t>
        </is>
      </c>
      <c r="H15" s="17" t="inlineStr">
        <is>
          <t>P1</t>
        </is>
      </c>
      <c r="I15" s="18" t="inlineStr">
        <is>
          <t>확인중</t>
        </is>
      </c>
      <c r="J15" s="17" t="inlineStr">
        <is>
          <t>0~1</t>
        </is>
      </c>
      <c r="K15" s="6" t="inlineStr"/>
      <c r="L15" s="20" t="str">
        <f>A15&amp;"|"&amp;D15</f>
        <v>기관 보고서|수집</v>
      </c>
    </row>
    <row r="16">
      <c r="A16" s="19" t="inlineStr">
        <is>
          <t>기관 보고서</t>
        </is>
      </c>
      <c r="B16" s="17" t="inlineStr">
        <is>
          <t>INSTITUTION</t>
        </is>
      </c>
      <c r="C16" s="17" t="inlineStr">
        <is>
          <t>사외</t>
        </is>
      </c>
      <c r="D16" s="17" t="inlineStr">
        <is>
          <t>파싱</t>
        </is>
      </c>
      <c r="E16" s="5" t="inlineStr">
        <is>
          <t>긴 PDF의 목차 · 헤딩 · 표 구조</t>
        </is>
      </c>
      <c r="F16" s="6" t="inlineStr"/>
      <c r="G16" s="5" t="inlineStr">
        <is>
          <t>헤딩 구조 보존, 표 별도</t>
        </is>
      </c>
      <c r="H16" s="17" t="inlineStr">
        <is>
          <t>P1</t>
        </is>
      </c>
      <c r="I16" s="18" t="inlineStr">
        <is>
          <t>미확인</t>
        </is>
      </c>
      <c r="J16" s="17" t="inlineStr">
        <is>
          <t>0~1</t>
        </is>
      </c>
      <c r="K16" s="6" t="inlineStr"/>
      <c r="L16" s="20" t="str">
        <f>A16&amp;"|"&amp;D16</f>
        <v>기관 보고서|파싱</v>
      </c>
    </row>
    <row r="17">
      <c r="A17" s="19" t="inlineStr">
        <is>
          <t>기관 보고서</t>
        </is>
      </c>
      <c r="B17" s="17" t="inlineStr">
        <is>
          <t>INSTITUTION</t>
        </is>
      </c>
      <c r="C17" s="17" t="inlineStr">
        <is>
          <t>사외</t>
        </is>
      </c>
      <c r="D17" s="17" t="inlineStr">
        <is>
          <t>청킹</t>
        </is>
      </c>
      <c r="E17" s="5" t="inlineStr">
        <is>
          <t>장 · 절 단위로 잘리는지</t>
        </is>
      </c>
      <c r="F17" s="6" t="inlineStr"/>
      <c r="G17" s="5" t="inlineStr">
        <is>
          <t>헤딩 기반 섹션, 표 별도</t>
        </is>
      </c>
      <c r="H17" s="17" t="inlineStr">
        <is>
          <t>P1</t>
        </is>
      </c>
      <c r="I17" s="18" t="inlineStr">
        <is>
          <t>미확인</t>
        </is>
      </c>
      <c r="J17" s="17" t="inlineStr">
        <is>
          <t>0~1</t>
        </is>
      </c>
      <c r="K17" s="6" t="inlineStr"/>
      <c r="L17" s="20" t="str">
        <f>A17&amp;"|"&amp;D17</f>
        <v>기관 보고서|청킹</v>
      </c>
    </row>
    <row r="18">
      <c r="A18" s="19" t="inlineStr">
        <is>
          <t>기관 보고서</t>
        </is>
      </c>
      <c r="B18" s="17" t="inlineStr">
        <is>
          <t>INSTITUTION</t>
        </is>
      </c>
      <c r="C18" s="17" t="inlineStr">
        <is>
          <t>사외</t>
        </is>
      </c>
      <c r="D18" s="17" t="inlineStr">
        <is>
          <t>메타</t>
        </is>
      </c>
      <c r="E18" s="5" t="inlineStr">
        <is>
          <t>발행일 vs 데이터 기준 시점 구분</t>
        </is>
      </c>
      <c r="F18" s="6" t="inlineStr"/>
      <c r="G18" s="5" t="inlineStr">
        <is>
          <t>데이터 기준 시점 별도 기록 (예: 3Q26 데이터, 10월 발행)</t>
        </is>
      </c>
      <c r="H18" s="17" t="inlineStr">
        <is>
          <t>P0</t>
        </is>
      </c>
      <c r="I18" s="18" t="inlineStr">
        <is>
          <t>미확인</t>
        </is>
      </c>
      <c r="J18" s="17" t="inlineStr">
        <is>
          <t>0~1</t>
        </is>
      </c>
      <c r="K18" s="6" t="inlineStr"/>
      <c r="L18" s="20" t="str">
        <f>A18&amp;"|"&amp;D18</f>
        <v>기관 보고서|메타</v>
      </c>
    </row>
    <row r="19">
      <c r="A19" s="19" t="inlineStr">
        <is>
          <t>기관 보고서</t>
        </is>
      </c>
      <c r="B19" s="17" t="inlineStr">
        <is>
          <t>INSTITUTION</t>
        </is>
      </c>
      <c r="C19" s="17" t="inlineStr">
        <is>
          <t>사외</t>
        </is>
      </c>
      <c r="D19" s="17" t="inlineStr">
        <is>
          <t>권한</t>
        </is>
      </c>
      <c r="E19" s="5" t="inlineStr">
        <is>
          <t>라이선스 범위</t>
        </is>
      </c>
      <c r="F19" s="6" t="inlineStr"/>
      <c r="G19" s="5" t="inlineStr">
        <is>
          <t>라이선스 내 공유 범위</t>
        </is>
      </c>
      <c r="H19" s="17" t="inlineStr">
        <is>
          <t>P2</t>
        </is>
      </c>
      <c r="I19" s="18" t="inlineStr">
        <is>
          <t>미확인</t>
        </is>
      </c>
      <c r="J19" s="17" t="inlineStr">
        <is>
          <t>0~1</t>
        </is>
      </c>
      <c r="K19" s="6" t="inlineStr"/>
      <c r="L19" s="20" t="str">
        <f>A19&amp;"|"&amp;D19</f>
        <v>기관 보고서|권한</v>
      </c>
    </row>
    <row r="20">
      <c r="A20" s="19" t="inlineStr">
        <is>
          <t>메일</t>
        </is>
      </c>
      <c r="B20" s="17" t="inlineStr">
        <is>
          <t>EMAIL</t>
        </is>
      </c>
      <c r="C20" s="17" t="inlineStr">
        <is>
          <t>사내</t>
        </is>
      </c>
      <c r="D20" s="17" t="inlineStr">
        <is>
          <t>수집</t>
        </is>
      </c>
      <c r="E20" s="5" t="inlineStr">
        <is>
          <t>대상 메일함 범위 · 첨부 포함 여부</t>
        </is>
      </c>
      <c r="F20" s="6" t="inlineStr">
        <is>
          <t>공통: doc id · 중복 체크 · 날짜 분리 확인</t>
        </is>
      </c>
      <c r="G20" s="5" t="inlineStr">
        <is>
          <t>수집 대상 · 동의 범위 명확화, 첨부는 별도 문서</t>
        </is>
      </c>
      <c r="H20" s="17" t="inlineStr">
        <is>
          <t>P0</t>
        </is>
      </c>
      <c r="I20" s="18" t="inlineStr">
        <is>
          <t>확인중</t>
        </is>
      </c>
      <c r="J20" s="17" t="inlineStr">
        <is>
          <t>1~2</t>
        </is>
      </c>
      <c r="K20" s="6" t="inlineStr"/>
      <c r="L20" s="20" t="str">
        <f>A20&amp;"|"&amp;D20</f>
        <v>메일|수집</v>
      </c>
    </row>
    <row r="21">
      <c r="A21" s="19" t="inlineStr">
        <is>
          <t>메일</t>
        </is>
      </c>
      <c r="B21" s="17" t="inlineStr">
        <is>
          <t>EMAIL</t>
        </is>
      </c>
      <c r="C21" s="17" t="inlineStr">
        <is>
          <t>사내</t>
        </is>
      </c>
      <c r="D21" s="17" t="inlineStr">
        <is>
          <t>파싱</t>
        </is>
      </c>
      <c r="E21" s="5" t="inlineStr">
        <is>
          <t>인용 본문 · 서명 · 면책 문구가 섞여 있는지</t>
        </is>
      </c>
      <c r="F21" s="6" t="inlineStr"/>
      <c r="G21" s="5" t="inlineStr">
        <is>
          <t>인용 · 서명 제거 규칙</t>
        </is>
      </c>
      <c r="H21" s="17" t="inlineStr">
        <is>
          <t>P0</t>
        </is>
      </c>
      <c r="I21" s="18" t="inlineStr">
        <is>
          <t>미확인</t>
        </is>
      </c>
      <c r="J21" s="17" t="inlineStr">
        <is>
          <t>1~2</t>
        </is>
      </c>
      <c r="K21" s="6" t="inlineStr"/>
      <c r="L21" s="20" t="str">
        <f>A21&amp;"|"&amp;D21</f>
        <v>메일|파싱</v>
      </c>
    </row>
    <row r="22">
      <c r="A22" s="19" t="inlineStr">
        <is>
          <t>메일</t>
        </is>
      </c>
      <c r="B22" s="17" t="inlineStr">
        <is>
          <t>EMAIL</t>
        </is>
      </c>
      <c r="C22" s="17" t="inlineStr">
        <is>
          <t>사내</t>
        </is>
      </c>
      <c r="D22" s="17" t="inlineStr">
        <is>
          <t>청킹</t>
        </is>
      </c>
      <c r="E22" s="5" t="inlineStr">
        <is>
          <t>답장마다 같은 내용이 반복되는지</t>
        </is>
      </c>
      <c r="F22" s="6" t="inlineStr"/>
      <c r="G22" s="5" t="inlineStr">
        <is>
          <t>스레드 단위, 최신 답장 기준</t>
        </is>
      </c>
      <c r="H22" s="17" t="inlineStr">
        <is>
          <t>P0</t>
        </is>
      </c>
      <c r="I22" s="18" t="inlineStr">
        <is>
          <t>미확인</t>
        </is>
      </c>
      <c r="J22" s="17" t="inlineStr">
        <is>
          <t>1~2</t>
        </is>
      </c>
      <c r="K22" s="6" t="inlineStr"/>
      <c r="L22" s="20" t="str">
        <f>A22&amp;"|"&amp;D22</f>
        <v>메일|청킹</v>
      </c>
    </row>
    <row r="23">
      <c r="A23" s="19" t="inlineStr">
        <is>
          <t>메일</t>
        </is>
      </c>
      <c r="B23" s="17" t="inlineStr">
        <is>
          <t>EMAIL</t>
        </is>
      </c>
      <c r="C23" s="17" t="inlineStr">
        <is>
          <t>사내</t>
        </is>
      </c>
      <c r="D23" s="17" t="inlineStr">
        <is>
          <t>메타</t>
        </is>
      </c>
      <c r="E23" s="5" t="inlineStr">
        <is>
          <t>발신일 · 발신자 · 부서 · thread_id</t>
        </is>
      </c>
      <c r="F23" s="6" t="inlineStr"/>
      <c r="G23" s="5" t="inlineStr">
        <is>
          <t>수신자는 JSON이 아니라 ACL로</t>
        </is>
      </c>
      <c r="H23" s="17" t="inlineStr">
        <is>
          <t>P1</t>
        </is>
      </c>
      <c r="I23" s="18" t="inlineStr">
        <is>
          <t>미확인</t>
        </is>
      </c>
      <c r="J23" s="17" t="inlineStr">
        <is>
          <t>1~2</t>
        </is>
      </c>
      <c r="K23" s="6" t="inlineStr"/>
      <c r="L23" s="20" t="str">
        <f>A23&amp;"|"&amp;D23</f>
        <v>메일|메타</v>
      </c>
    </row>
    <row r="24">
      <c r="A24" s="19" t="inlineStr">
        <is>
          <t>메일</t>
        </is>
      </c>
      <c r="B24" s="17" t="inlineStr">
        <is>
          <t>EMAIL</t>
        </is>
      </c>
      <c r="C24" s="17" t="inlineStr">
        <is>
          <t>사내</t>
        </is>
      </c>
      <c r="D24" s="17" t="inlineStr">
        <is>
          <t>권한</t>
        </is>
      </c>
      <c r="E24" s="5" t="inlineStr">
        <is>
          <t>발신자 · 수신자 외 열람 차단</t>
        </is>
      </c>
      <c r="F24" s="6" t="inlineStr"/>
      <c r="G24" s="5" t="inlineStr">
        <is>
          <t>ACL = 발신자 + 수신자, 누출 테스트</t>
        </is>
      </c>
      <c r="H24" s="17" t="inlineStr">
        <is>
          <t>P0</t>
        </is>
      </c>
      <c r="I24" s="18" t="inlineStr">
        <is>
          <t>미확인</t>
        </is>
      </c>
      <c r="J24" s="17" t="inlineStr">
        <is>
          <t>1~2</t>
        </is>
      </c>
      <c r="K24" s="6" t="inlineStr"/>
      <c r="L24" s="20" t="str">
        <f>A24&amp;"|"&amp;D24</f>
        <v>메일|권한</v>
      </c>
    </row>
    <row r="25">
      <c r="A25" s="19" t="inlineStr">
        <is>
          <t>회의록</t>
        </is>
      </c>
      <c r="B25" s="17" t="inlineStr">
        <is>
          <t>MEETING</t>
        </is>
      </c>
      <c r="C25" s="17" t="inlineStr">
        <is>
          <t>사내</t>
        </is>
      </c>
      <c r="D25" s="17" t="inlineStr">
        <is>
          <t>수집</t>
        </is>
      </c>
      <c r="E25" s="5" t="inlineStr">
        <is>
          <t>저장 위치 · 양식 통일 여부</t>
        </is>
      </c>
      <c r="F25" s="6" t="inlineStr">
        <is>
          <t>공통: doc id · 중복 체크 · 날짜 분리 확인</t>
        </is>
      </c>
      <c r="G25" s="5" t="inlineStr">
        <is>
          <t>양식별 수집 규칙</t>
        </is>
      </c>
      <c r="H25" s="17" t="inlineStr">
        <is>
          <t>P1</t>
        </is>
      </c>
      <c r="I25" s="18" t="inlineStr">
        <is>
          <t>확인중</t>
        </is>
      </c>
      <c r="J25" s="17" t="inlineStr">
        <is>
          <t>1~2</t>
        </is>
      </c>
      <c r="K25" s="6" t="inlineStr"/>
      <c r="L25" s="20" t="str">
        <f>A25&amp;"|"&amp;D25</f>
        <v>회의록|수집</v>
      </c>
    </row>
    <row r="26">
      <c r="A26" s="19" t="inlineStr">
        <is>
          <t>회의록</t>
        </is>
      </c>
      <c r="B26" s="17" t="inlineStr">
        <is>
          <t>MEETING</t>
        </is>
      </c>
      <c r="C26" s="17" t="inlineStr">
        <is>
          <t>사내</t>
        </is>
      </c>
      <c r="D26" s="17" t="inlineStr">
        <is>
          <t>파싱</t>
        </is>
      </c>
      <c r="E26" s="5" t="inlineStr">
        <is>
          <t>안건 · 결정 · 액션 아이템 구조가 보존되는지</t>
        </is>
      </c>
      <c r="F26" s="6" t="inlineStr"/>
      <c r="G26" s="5" t="inlineStr">
        <is>
          <t>구조 보존 파싱</t>
        </is>
      </c>
      <c r="H26" s="17" t="inlineStr">
        <is>
          <t>P1</t>
        </is>
      </c>
      <c r="I26" s="18" t="inlineStr">
        <is>
          <t>미확인</t>
        </is>
      </c>
      <c r="J26" s="17" t="inlineStr">
        <is>
          <t>1~2</t>
        </is>
      </c>
      <c r="K26" s="6" t="inlineStr"/>
      <c r="L26" s="20" t="str">
        <f>A26&amp;"|"&amp;D26</f>
        <v>회의록|파싱</v>
      </c>
    </row>
    <row r="27">
      <c r="A27" s="19" t="inlineStr">
        <is>
          <t>회의록</t>
        </is>
      </c>
      <c r="B27" s="17" t="inlineStr">
        <is>
          <t>MEETING</t>
        </is>
      </c>
      <c r="C27" s="17" t="inlineStr">
        <is>
          <t>사내</t>
        </is>
      </c>
      <c r="D27" s="17" t="inlineStr">
        <is>
          <t>청킹</t>
        </is>
      </c>
      <c r="E27" s="5" t="inlineStr">
        <is>
          <t>안건 단위로 잘리는지</t>
        </is>
      </c>
      <c r="F27" s="6" t="inlineStr"/>
      <c r="G27" s="5" t="inlineStr">
        <is>
          <t>안건 = 1청크</t>
        </is>
      </c>
      <c r="H27" s="17" t="inlineStr">
        <is>
          <t>P0</t>
        </is>
      </c>
      <c r="I27" s="18" t="inlineStr">
        <is>
          <t>미확인</t>
        </is>
      </c>
      <c r="J27" s="17" t="inlineStr">
        <is>
          <t>1~2</t>
        </is>
      </c>
      <c r="K27" s="6" t="inlineStr"/>
      <c r="L27" s="20" t="str">
        <f>A27&amp;"|"&amp;D27</f>
        <v>회의록|청킹</v>
      </c>
    </row>
    <row r="28">
      <c r="A28" s="19" t="inlineStr">
        <is>
          <t>회의록</t>
        </is>
      </c>
      <c r="B28" s="17" t="inlineStr">
        <is>
          <t>MEETING</t>
        </is>
      </c>
      <c r="C28" s="17" t="inlineStr">
        <is>
          <t>사내</t>
        </is>
      </c>
      <c r="D28" s="17" t="inlineStr">
        <is>
          <t>메타</t>
        </is>
      </c>
      <c r="E28" s="5" t="inlineStr">
        <is>
          <t>회의일 · 주관 부서 · 참석자 · 프로젝트 코드</t>
        </is>
      </c>
      <c r="F28" s="6" t="inlineStr"/>
      <c r="G28" s="5" t="inlineStr">
        <is>
          <t>액션 아이템 JSON</t>
        </is>
      </c>
      <c r="H28" s="17" t="inlineStr">
        <is>
          <t>P1</t>
        </is>
      </c>
      <c r="I28" s="18" t="inlineStr">
        <is>
          <t>미확인</t>
        </is>
      </c>
      <c r="J28" s="17" t="inlineStr">
        <is>
          <t>1~2</t>
        </is>
      </c>
      <c r="K28" s="6" t="inlineStr"/>
      <c r="L28" s="20" t="str">
        <f>A28&amp;"|"&amp;D28</f>
        <v>회의록|메타</v>
      </c>
    </row>
    <row r="29">
      <c r="A29" s="19" t="inlineStr">
        <is>
          <t>회의록</t>
        </is>
      </c>
      <c r="B29" s="17" t="inlineStr">
        <is>
          <t>MEETING</t>
        </is>
      </c>
      <c r="C29" s="17" t="inlineStr">
        <is>
          <t>사내</t>
        </is>
      </c>
      <c r="D29" s="17" t="inlineStr">
        <is>
          <t>권한</t>
        </is>
      </c>
      <c r="E29" s="5" t="inlineStr">
        <is>
          <t>참석자 · 주관 부서 외 열람</t>
        </is>
      </c>
      <c r="F29" s="6" t="inlineStr"/>
      <c r="G29" s="5" t="inlineStr">
        <is>
          <t>ACL = 참석자 + 주관 부서</t>
        </is>
      </c>
      <c r="H29" s="17" t="inlineStr">
        <is>
          <t>P0</t>
        </is>
      </c>
      <c r="I29" s="18" t="inlineStr">
        <is>
          <t>미확인</t>
        </is>
      </c>
      <c r="J29" s="17" t="inlineStr">
        <is>
          <t>1~2</t>
        </is>
      </c>
      <c r="K29" s="6" t="inlineStr"/>
      <c r="L29" s="20" t="str">
        <f>A29&amp;"|"&amp;D29</f>
        <v>회의록|권한</v>
      </c>
    </row>
    <row r="30">
      <c r="A30" s="19" t="inlineStr">
        <is>
          <t>사내 보고서</t>
        </is>
      </c>
      <c r="B30" s="17" t="inlineStr">
        <is>
          <t>REPORT</t>
        </is>
      </c>
      <c r="C30" s="17" t="inlineStr">
        <is>
          <t>사내</t>
        </is>
      </c>
      <c r="D30" s="17" t="inlineStr">
        <is>
          <t>수집</t>
        </is>
      </c>
      <c r="E30" s="5" t="inlineStr">
        <is>
          <t>결재 완료본만인지, 초안 · 버전 중복</t>
        </is>
      </c>
      <c r="F30" s="6" t="inlineStr">
        <is>
          <t>공통: doc id · 중복 체크 · 날짜 분리 확인</t>
        </is>
      </c>
      <c r="G30" s="5" t="inlineStr">
        <is>
          <t>최종본만 적재, 버전 관리</t>
        </is>
      </c>
      <c r="H30" s="17" t="inlineStr">
        <is>
          <t>P0</t>
        </is>
      </c>
      <c r="I30" s="18" t="inlineStr">
        <is>
          <t>확인중</t>
        </is>
      </c>
      <c r="J30" s="17" t="inlineStr">
        <is>
          <t>1~2</t>
        </is>
      </c>
      <c r="K30" s="6" t="inlineStr"/>
      <c r="L30" s="20" t="str">
        <f>A30&amp;"|"&amp;D30</f>
        <v>사내 보고서|수집</v>
      </c>
    </row>
    <row r="31">
      <c r="A31" s="19" t="inlineStr">
        <is>
          <t>사내 보고서</t>
        </is>
      </c>
      <c r="B31" s="17" t="inlineStr">
        <is>
          <t>REPORT</t>
        </is>
      </c>
      <c r="C31" s="17" t="inlineStr">
        <is>
          <t>사내</t>
        </is>
      </c>
      <c r="D31" s="17" t="inlineStr">
        <is>
          <t>파싱</t>
        </is>
      </c>
      <c r="E31" s="5" t="inlineStr">
        <is>
          <t>PPT · Excel · Word 혼합 — 슬라이드 텍스트 · 표</t>
        </is>
      </c>
      <c r="F31" s="6" t="inlineStr"/>
      <c r="G31" s="5" t="inlineStr">
        <is>
          <t>형식별 파서, PPT 표 추출</t>
        </is>
      </c>
      <c r="H31" s="17" t="inlineStr">
        <is>
          <t>P1</t>
        </is>
      </c>
      <c r="I31" s="18" t="inlineStr">
        <is>
          <t>미확인</t>
        </is>
      </c>
      <c r="J31" s="17" t="inlineStr">
        <is>
          <t>1~2</t>
        </is>
      </c>
      <c r="K31" s="6" t="inlineStr"/>
      <c r="L31" s="20" t="str">
        <f>A31&amp;"|"&amp;D31</f>
        <v>사내 보고서|파싱</v>
      </c>
    </row>
    <row r="32">
      <c r="A32" s="19" t="inlineStr">
        <is>
          <t>사내 보고서</t>
        </is>
      </c>
      <c r="B32" s="17" t="inlineStr">
        <is>
          <t>REPORT</t>
        </is>
      </c>
      <c r="C32" s="17" t="inlineStr">
        <is>
          <t>사내</t>
        </is>
      </c>
      <c r="D32" s="17" t="inlineStr">
        <is>
          <t>청킹</t>
        </is>
      </c>
      <c r="E32" s="5" t="inlineStr">
        <is>
          <t>슬라이드 · 헤딩 단위로 잘리는지</t>
        </is>
      </c>
      <c r="F32" s="6" t="inlineStr"/>
      <c r="G32" s="5" t="inlineStr">
        <is>
          <t>슬라이드 / 헤딩 단위</t>
        </is>
      </c>
      <c r="H32" s="17" t="inlineStr">
        <is>
          <t>P1</t>
        </is>
      </c>
      <c r="I32" s="18" t="inlineStr">
        <is>
          <t>미확인</t>
        </is>
      </c>
      <c r="J32" s="17" t="inlineStr">
        <is>
          <t>1~2</t>
        </is>
      </c>
      <c r="K32" s="6" t="inlineStr"/>
      <c r="L32" s="20" t="str">
        <f>A32&amp;"|"&amp;D32</f>
        <v>사내 보고서|청킹</v>
      </c>
    </row>
    <row r="33">
      <c r="A33" s="19" t="inlineStr">
        <is>
          <t>사내 보고서</t>
        </is>
      </c>
      <c r="B33" s="17" t="inlineStr">
        <is>
          <t>REPORT</t>
        </is>
      </c>
      <c r="C33" s="17" t="inlineStr">
        <is>
          <t>사내</t>
        </is>
      </c>
      <c r="D33" s="17" t="inlineStr">
        <is>
          <t>메타</t>
        </is>
      </c>
      <c r="E33" s="5" t="inlineStr">
        <is>
          <t>작성일 · 부서 · 작성자 · 버전 · 보안등급</t>
        </is>
      </c>
      <c r="F33" s="6" t="inlineStr"/>
      <c r="G33" s="5" t="inlineStr">
        <is>
          <t>보안등급은 공통 컬럼</t>
        </is>
      </c>
      <c r="H33" s="17" t="inlineStr">
        <is>
          <t>P0</t>
        </is>
      </c>
      <c r="I33" s="18" t="inlineStr">
        <is>
          <t>미확인</t>
        </is>
      </c>
      <c r="J33" s="17" t="inlineStr">
        <is>
          <t>1~2</t>
        </is>
      </c>
      <c r="K33" s="6" t="inlineStr"/>
      <c r="L33" s="20" t="str">
        <f>A33&amp;"|"&amp;D33</f>
        <v>사내 보고서|메타</v>
      </c>
    </row>
    <row r="34">
      <c r="A34" s="19" t="inlineStr">
        <is>
          <t>사내 보고서</t>
        </is>
      </c>
      <c r="B34" s="17" t="inlineStr">
        <is>
          <t>REPORT</t>
        </is>
      </c>
      <c r="C34" s="17" t="inlineStr">
        <is>
          <t>사내</t>
        </is>
      </c>
      <c r="D34" s="17" t="inlineStr">
        <is>
          <t>권한</t>
        </is>
      </c>
      <c r="E34" s="5" t="inlineStr">
        <is>
          <t>보안등급 · 공유 범위 반영</t>
        </is>
      </c>
      <c r="F34" s="6" t="inlineStr"/>
      <c r="G34" s="5" t="inlineStr">
        <is>
          <t>등급 + 부서 ACL</t>
        </is>
      </c>
      <c r="H34" s="17" t="inlineStr">
        <is>
          <t>P0</t>
        </is>
      </c>
      <c r="I34" s="18" t="inlineStr">
        <is>
          <t>미확인</t>
        </is>
      </c>
      <c r="J34" s="17" t="inlineStr">
        <is>
          <t>1~2</t>
        </is>
      </c>
      <c r="K34" s="6" t="inlineStr"/>
      <c r="L34" s="20" t="str">
        <f>A34&amp;"|"&amp;D34</f>
        <v>사내 보고서|권한</v>
      </c>
    </row>
    <row r="35">
      <c r="A35" s="19" t="inlineStr">
        <is>
          <t>지식문서</t>
        </is>
      </c>
      <c r="B35" s="17" t="inlineStr">
        <is>
          <t>KNOWLEDGE</t>
        </is>
      </c>
      <c r="C35" s="17" t="inlineStr">
        <is>
          <t>사내</t>
        </is>
      </c>
      <c r="D35" s="17" t="inlineStr">
        <is>
          <t>수집</t>
        </is>
      </c>
      <c r="E35" s="5" t="inlineStr">
        <is>
          <t>KMS 범위 · 갱신 이력</t>
        </is>
      </c>
      <c r="F35" s="6" t="inlineStr">
        <is>
          <t>공통: doc id · 중복 체크 · 날짜 분리 확인</t>
        </is>
      </c>
      <c r="G35" s="5" t="inlineStr">
        <is>
          <t>최신본만 유지 (구버전 삭제 반영)</t>
        </is>
      </c>
      <c r="H35" s="17" t="inlineStr">
        <is>
          <t>P1</t>
        </is>
      </c>
      <c r="I35" s="18" t="inlineStr">
        <is>
          <t>확인중</t>
        </is>
      </c>
      <c r="J35" s="17" t="inlineStr">
        <is>
          <t>1</t>
        </is>
      </c>
      <c r="K35" s="6" t="inlineStr"/>
      <c r="L35" s="20" t="str">
        <f>A35&amp;"|"&amp;D35</f>
        <v>지식문서|수집</v>
      </c>
    </row>
    <row r="36">
      <c r="A36" s="19" t="inlineStr">
        <is>
          <t>지식문서</t>
        </is>
      </c>
      <c r="B36" s="17" t="inlineStr">
        <is>
          <t>KNOWLEDGE</t>
        </is>
      </c>
      <c r="C36" s="17" t="inlineStr">
        <is>
          <t>사내</t>
        </is>
      </c>
      <c r="D36" s="17" t="inlineStr">
        <is>
          <t>파싱</t>
        </is>
      </c>
      <c r="E36" s="5" t="inlineStr">
        <is>
          <t>위키 · HTML 구조</t>
        </is>
      </c>
      <c r="F36" s="6" t="inlineStr"/>
      <c r="G36" s="5" t="inlineStr">
        <is>
          <t>헤딩 · 목록 보존</t>
        </is>
      </c>
      <c r="H36" s="17" t="inlineStr">
        <is>
          <t>P2</t>
        </is>
      </c>
      <c r="I36" s="18" t="inlineStr">
        <is>
          <t>미확인</t>
        </is>
      </c>
      <c r="J36" s="17" t="inlineStr">
        <is>
          <t>1</t>
        </is>
      </c>
      <c r="K36" s="6" t="inlineStr"/>
      <c r="L36" s="20" t="str">
        <f>A36&amp;"|"&amp;D36</f>
        <v>지식문서|파싱</v>
      </c>
    </row>
    <row r="37">
      <c r="A37" s="19" t="inlineStr">
        <is>
          <t>지식문서</t>
        </is>
      </c>
      <c r="B37" s="17" t="inlineStr">
        <is>
          <t>KNOWLEDGE</t>
        </is>
      </c>
      <c r="C37" s="17" t="inlineStr">
        <is>
          <t>사내</t>
        </is>
      </c>
      <c r="D37" s="17" t="inlineStr">
        <is>
          <t>청킹</t>
        </is>
      </c>
      <c r="E37" s="5" t="inlineStr">
        <is>
          <t>헤딩 단위로 잘리는지</t>
        </is>
      </c>
      <c r="F37" s="6" t="inlineStr"/>
      <c r="G37" s="5" t="inlineStr">
        <is>
          <t>헤딩 기반</t>
        </is>
      </c>
      <c r="H37" s="17" t="inlineStr">
        <is>
          <t>P1</t>
        </is>
      </c>
      <c r="I37" s="18" t="inlineStr">
        <is>
          <t>미확인</t>
        </is>
      </c>
      <c r="J37" s="17" t="inlineStr">
        <is>
          <t>1</t>
        </is>
      </c>
      <c r="K37" s="6" t="inlineStr"/>
      <c r="L37" s="20" t="str">
        <f>A37&amp;"|"&amp;D37</f>
        <v>지식문서|청킹</v>
      </c>
    </row>
    <row r="38">
      <c r="A38" s="19" t="inlineStr">
        <is>
          <t>지식문서</t>
        </is>
      </c>
      <c r="B38" s="17" t="inlineStr">
        <is>
          <t>KNOWLEDGE</t>
        </is>
      </c>
      <c r="C38" s="17" t="inlineStr">
        <is>
          <t>사내</t>
        </is>
      </c>
      <c r="D38" s="17" t="inlineStr">
        <is>
          <t>메타</t>
        </is>
      </c>
      <c r="E38" s="5" t="inlineStr">
        <is>
          <t>최종 수정일 · 소관 부서 · 시스템명</t>
        </is>
      </c>
      <c r="F38" s="6" t="inlineStr"/>
      <c r="G38" s="5" t="inlineStr">
        <is>
          <t>작성일보다 최종 수정일 기준</t>
        </is>
      </c>
      <c r="H38" s="17" t="inlineStr">
        <is>
          <t>P1</t>
        </is>
      </c>
      <c r="I38" s="18" t="inlineStr">
        <is>
          <t>미확인</t>
        </is>
      </c>
      <c r="J38" s="17" t="inlineStr">
        <is>
          <t>1</t>
        </is>
      </c>
      <c r="K38" s="6" t="inlineStr"/>
      <c r="L38" s="20" t="str">
        <f>A38&amp;"|"&amp;D38</f>
        <v>지식문서|메타</v>
      </c>
    </row>
    <row r="39">
      <c r="A39" s="19" t="inlineStr">
        <is>
          <t>지식문서</t>
        </is>
      </c>
      <c r="B39" s="17" t="inlineStr">
        <is>
          <t>KNOWLEDGE</t>
        </is>
      </c>
      <c r="C39" s="17" t="inlineStr">
        <is>
          <t>사내</t>
        </is>
      </c>
      <c r="D39" s="17" t="inlineStr">
        <is>
          <t>권한</t>
        </is>
      </c>
      <c r="E39" s="5" t="inlineStr">
        <is>
          <t>사내 전체 공개 여부</t>
        </is>
      </c>
      <c r="F39" s="6" t="inlineStr"/>
      <c r="G39" s="5" t="inlineStr">
        <is>
          <t>보안등급 1</t>
        </is>
      </c>
      <c r="H39" s="17" t="inlineStr">
        <is>
          <t>P2</t>
        </is>
      </c>
      <c r="I39" s="18" t="inlineStr">
        <is>
          <t>미확인</t>
        </is>
      </c>
      <c r="J39" s="17" t="inlineStr">
        <is>
          <t>1</t>
        </is>
      </c>
      <c r="K39" s="6" t="inlineStr"/>
      <c r="L39" s="20" t="str">
        <f>A39&amp;"|"&amp;D39</f>
        <v>지식문서|권한</v>
      </c>
    </row>
    <row r="40">
      <c r="A40" s="19" t="inlineStr">
        <is>
          <t>엔지니어 보고서</t>
        </is>
      </c>
      <c r="B40" s="17" t="inlineStr">
        <is>
          <t>ENG_REPORT</t>
        </is>
      </c>
      <c r="C40" s="17" t="inlineStr">
        <is>
          <t>사내</t>
        </is>
      </c>
      <c r="D40" s="17" t="inlineStr">
        <is>
          <t>수집</t>
        </is>
      </c>
      <c r="E40" s="5" t="inlineStr">
        <is>
          <t>저장 위치 · 과제별 접근</t>
        </is>
      </c>
      <c r="F40" s="6" t="inlineStr">
        <is>
          <t>공통: doc id · 중복 체크 · 날짜 분리 확인</t>
        </is>
      </c>
      <c r="G40" s="5" t="inlineStr">
        <is>
          <t>과제 · 부서별 수집 범위</t>
        </is>
      </c>
      <c r="H40" s="17" t="inlineStr">
        <is>
          <t>P1</t>
        </is>
      </c>
      <c r="I40" s="18" t="inlineStr">
        <is>
          <t>확인중</t>
        </is>
      </c>
      <c r="J40" s="17" t="inlineStr">
        <is>
          <t>1~2</t>
        </is>
      </c>
      <c r="K40" s="6" t="inlineStr"/>
      <c r="L40" s="20" t="str">
        <f>A40&amp;"|"&amp;D40</f>
        <v>엔지니어 보고서|수집</v>
      </c>
    </row>
    <row r="41">
      <c r="A41" s="19" t="inlineStr">
        <is>
          <t>엔지니어 보고서</t>
        </is>
      </c>
      <c r="B41" s="17" t="inlineStr">
        <is>
          <t>ENG_REPORT</t>
        </is>
      </c>
      <c r="C41" s="17" t="inlineStr">
        <is>
          <t>사내</t>
        </is>
      </c>
      <c r="D41" s="17" t="inlineStr">
        <is>
          <t>파싱</t>
        </is>
      </c>
      <c r="E41" s="5" t="inlineStr">
        <is>
          <t>측정 표 · 그래프 · 수식 · 공정 약어</t>
        </is>
      </c>
      <c r="F41" s="6" t="inlineStr"/>
      <c r="G41" s="5" t="inlineStr">
        <is>
          <t>표 별도, 약어 사전</t>
        </is>
      </c>
      <c r="H41" s="17" t="inlineStr">
        <is>
          <t>P1</t>
        </is>
      </c>
      <c r="I41" s="18" t="inlineStr">
        <is>
          <t>미확인</t>
        </is>
      </c>
      <c r="J41" s="17" t="inlineStr">
        <is>
          <t>1~2</t>
        </is>
      </c>
      <c r="K41" s="6" t="inlineStr"/>
      <c r="L41" s="20" t="str">
        <f>A41&amp;"|"&amp;D41</f>
        <v>엔지니어 보고서|파싱</v>
      </c>
    </row>
    <row r="42">
      <c r="A42" s="19" t="inlineStr">
        <is>
          <t>엔지니어 보고서</t>
        </is>
      </c>
      <c r="B42" s="17" t="inlineStr">
        <is>
          <t>ENG_REPORT</t>
        </is>
      </c>
      <c r="C42" s="17" t="inlineStr">
        <is>
          <t>사내</t>
        </is>
      </c>
      <c r="D42" s="17" t="inlineStr">
        <is>
          <t>청킹</t>
        </is>
      </c>
      <c r="E42" s="5" t="inlineStr">
        <is>
          <t>섹션 · 표가 잘리는지</t>
        </is>
      </c>
      <c r="F42" s="6" t="inlineStr"/>
      <c r="G42" s="5" t="inlineStr">
        <is>
          <t>섹션 + 표 별도</t>
        </is>
      </c>
      <c r="H42" s="17" t="inlineStr">
        <is>
          <t>P1</t>
        </is>
      </c>
      <c r="I42" s="18" t="inlineStr">
        <is>
          <t>미확인</t>
        </is>
      </c>
      <c r="J42" s="17" t="inlineStr">
        <is>
          <t>1~2</t>
        </is>
      </c>
      <c r="K42" s="6" t="inlineStr"/>
      <c r="L42" s="20" t="str">
        <f>A42&amp;"|"&amp;D42</f>
        <v>엔지니어 보고서|청킹</v>
      </c>
    </row>
    <row r="43">
      <c r="A43" s="19" t="inlineStr">
        <is>
          <t>엔지니어 보고서</t>
        </is>
      </c>
      <c r="B43" s="17" t="inlineStr">
        <is>
          <t>ENG_REPORT</t>
        </is>
      </c>
      <c r="C43" s="17" t="inlineStr">
        <is>
          <t>사내</t>
        </is>
      </c>
      <c r="D43" s="17" t="inlineStr">
        <is>
          <t>메타</t>
        </is>
      </c>
      <c r="E43" s="5" t="inlineStr">
        <is>
          <t>공정 · 제품 · Fab · 테스트 항목</t>
        </is>
      </c>
      <c r="F43" s="6" t="inlineStr"/>
      <c r="G43" s="5" t="inlineStr">
        <is>
          <t>키는 현업 확인 후 확정 (JSON)</t>
        </is>
      </c>
      <c r="H43" s="17" t="inlineStr">
        <is>
          <t>P1</t>
        </is>
      </c>
      <c r="I43" s="18" t="inlineStr">
        <is>
          <t>미확인</t>
        </is>
      </c>
      <c r="J43" s="17" t="inlineStr">
        <is>
          <t>1~2</t>
        </is>
      </c>
      <c r="K43" s="6" t="inlineStr"/>
      <c r="L43" s="20" t="str">
        <f>A43&amp;"|"&amp;D43</f>
        <v>엔지니어 보고서|메타</v>
      </c>
    </row>
    <row r="44">
      <c r="A44" s="19" t="inlineStr">
        <is>
          <t>엔지니어 보고서</t>
        </is>
      </c>
      <c r="B44" s="17" t="inlineStr">
        <is>
          <t>ENG_REPORT</t>
        </is>
      </c>
      <c r="C44" s="17" t="inlineStr">
        <is>
          <t>사내</t>
        </is>
      </c>
      <c r="D44" s="17" t="inlineStr">
        <is>
          <t>권한</t>
        </is>
      </c>
      <c r="E44" s="5" t="inlineStr">
        <is>
          <t>부서 · 과제 그룹 외 열람</t>
        </is>
      </c>
      <c r="F44" s="6" t="inlineStr"/>
      <c r="G44" s="5" t="inlineStr">
        <is>
          <t>ACL = 부서 · 과제 그룹</t>
        </is>
      </c>
      <c r="H44" s="17" t="inlineStr">
        <is>
          <t>P0</t>
        </is>
      </c>
      <c r="I44" s="18" t="inlineStr">
        <is>
          <t>미확인</t>
        </is>
      </c>
      <c r="J44" s="17" t="inlineStr">
        <is>
          <t>1~2</t>
        </is>
      </c>
      <c r="K44" s="6" t="inlineStr"/>
      <c r="L44" s="20" t="str">
        <f>A44&amp;"|"&amp;D44</f>
        <v>엔지니어 보고서|권한</v>
      </c>
    </row>
    <row r="45">
      <c r="A45" s="19" t="inlineStr">
        <is>
          <t>임원 보고서</t>
        </is>
      </c>
      <c r="B45" s="17" t="inlineStr">
        <is>
          <t>EXEC_REPORT</t>
        </is>
      </c>
      <c r="C45" s="17" t="inlineStr">
        <is>
          <t>사내</t>
        </is>
      </c>
      <c r="D45" s="17" t="inlineStr">
        <is>
          <t>수집</t>
        </is>
      </c>
      <c r="E45" s="5" t="inlineStr">
        <is>
          <t>보고 원본 확보 경로 · 최종본</t>
        </is>
      </c>
      <c r="F45" s="6" t="inlineStr">
        <is>
          <t>공통: doc id · 중복 체크 · 날짜 분리 확인</t>
        </is>
      </c>
      <c r="G45" s="5" t="inlineStr">
        <is>
          <t>최종 보고본만</t>
        </is>
      </c>
      <c r="H45" s="17" t="inlineStr">
        <is>
          <t>P1</t>
        </is>
      </c>
      <c r="I45" s="18" t="inlineStr">
        <is>
          <t>확인중</t>
        </is>
      </c>
      <c r="J45" s="17" t="inlineStr">
        <is>
          <t>3</t>
        </is>
      </c>
      <c r="K45" s="6" t="inlineStr"/>
      <c r="L45" s="20" t="str">
        <f>A45&amp;"|"&amp;D45</f>
        <v>임원 보고서|수집</v>
      </c>
    </row>
    <row r="46">
      <c r="A46" s="19" t="inlineStr">
        <is>
          <t>임원 보고서</t>
        </is>
      </c>
      <c r="B46" s="17" t="inlineStr">
        <is>
          <t>EXEC_REPORT</t>
        </is>
      </c>
      <c r="C46" s="17" t="inlineStr">
        <is>
          <t>사내</t>
        </is>
      </c>
      <c r="D46" s="17" t="inlineStr">
        <is>
          <t>파싱</t>
        </is>
      </c>
      <c r="E46" s="5" t="inlineStr">
        <is>
          <t>PPT 요약 슬라이드 · 표</t>
        </is>
      </c>
      <c r="F46" s="6" t="inlineStr"/>
      <c r="G46" s="5" t="inlineStr">
        <is>
          <t>슬라이드 텍스트 · 표 추출</t>
        </is>
      </c>
      <c r="H46" s="17" t="inlineStr">
        <is>
          <t>P1</t>
        </is>
      </c>
      <c r="I46" s="18" t="inlineStr">
        <is>
          <t>미확인</t>
        </is>
      </c>
      <c r="J46" s="17" t="inlineStr">
        <is>
          <t>3</t>
        </is>
      </c>
      <c r="K46" s="6" t="inlineStr"/>
      <c r="L46" s="20" t="str">
        <f>A46&amp;"|"&amp;D46</f>
        <v>임원 보고서|파싱</v>
      </c>
    </row>
    <row r="47">
      <c r="A47" s="19" t="inlineStr">
        <is>
          <t>임원 보고서</t>
        </is>
      </c>
      <c r="B47" s="17" t="inlineStr">
        <is>
          <t>EXEC_REPORT</t>
        </is>
      </c>
      <c r="C47" s="17" t="inlineStr">
        <is>
          <t>사내</t>
        </is>
      </c>
      <c r="D47" s="17" t="inlineStr">
        <is>
          <t>청킹</t>
        </is>
      </c>
      <c r="E47" s="5" t="inlineStr">
        <is>
          <t>장 · 슬라이드 단위</t>
        </is>
      </c>
      <c r="F47" s="6" t="inlineStr"/>
      <c r="G47" s="5" t="inlineStr">
        <is>
          <t>슬라이드 단위</t>
        </is>
      </c>
      <c r="H47" s="17" t="inlineStr">
        <is>
          <t>P1</t>
        </is>
      </c>
      <c r="I47" s="18" t="inlineStr">
        <is>
          <t>미확인</t>
        </is>
      </c>
      <c r="J47" s="17" t="inlineStr">
        <is>
          <t>3</t>
        </is>
      </c>
      <c r="K47" s="6" t="inlineStr"/>
      <c r="L47" s="20" t="str">
        <f>A47&amp;"|"&amp;D47</f>
        <v>임원 보고서|청킹</v>
      </c>
    </row>
    <row r="48">
      <c r="A48" s="19" t="inlineStr">
        <is>
          <t>임원 보고서</t>
        </is>
      </c>
      <c r="B48" s="17" t="inlineStr">
        <is>
          <t>EXEC_REPORT</t>
        </is>
      </c>
      <c r="C48" s="17" t="inlineStr">
        <is>
          <t>사내</t>
        </is>
      </c>
      <c r="D48" s="17" t="inlineStr">
        <is>
          <t>메타</t>
        </is>
      </c>
      <c r="E48" s="5" t="inlineStr">
        <is>
          <t>보고일 · 보고 부서 · 보고 대상</t>
        </is>
      </c>
      <c r="F48" s="6" t="inlineStr"/>
      <c r="G48" s="5" t="inlineStr">
        <is>
          <t>보안등급 3 고정</t>
        </is>
      </c>
      <c r="H48" s="17" t="inlineStr">
        <is>
          <t>P1</t>
        </is>
      </c>
      <c r="I48" s="18" t="inlineStr">
        <is>
          <t>미확인</t>
        </is>
      </c>
      <c r="J48" s="17" t="inlineStr">
        <is>
          <t>3</t>
        </is>
      </c>
      <c r="K48" s="6" t="inlineStr"/>
      <c r="L48" s="20" t="str">
        <f>A48&amp;"|"&amp;D48</f>
        <v>임원 보고서|메타</v>
      </c>
    </row>
    <row r="49">
      <c r="A49" s="19" t="inlineStr">
        <is>
          <t>임원 보고서</t>
        </is>
      </c>
      <c r="B49" s="17" t="inlineStr">
        <is>
          <t>EXEC_REPORT</t>
        </is>
      </c>
      <c r="C49" s="17" t="inlineStr">
        <is>
          <t>사내</t>
        </is>
      </c>
      <c r="D49" s="17" t="inlineStr">
        <is>
          <t>권한</t>
        </is>
      </c>
      <c r="E49" s="5" t="inlineStr">
        <is>
          <t>결재선 · 지정 그룹 외 절대 노출 금지</t>
        </is>
      </c>
      <c r="F49" s="6" t="inlineStr"/>
      <c r="G49" s="5" t="inlineStr">
        <is>
          <t>ACL = 결재선 + 지정 그룹, 누출 테스트 필수</t>
        </is>
      </c>
      <c r="H49" s="17" t="inlineStr">
        <is>
          <t>P0</t>
        </is>
      </c>
      <c r="I49" s="18" t="inlineStr">
        <is>
          <t>미확인</t>
        </is>
      </c>
      <c r="J49" s="17" t="inlineStr">
        <is>
          <t>3</t>
        </is>
      </c>
      <c r="K49" s="6" t="inlineStr"/>
      <c r="L49" s="20" t="str">
        <f>A49&amp;"|"&amp;D49</f>
        <v>임원 보고서|권한</v>
      </c>
    </row>
  </sheetData>
  <autoFilter ref="A4:L49"/>
  <mergeCells count="2">
    <mergeCell ref="A2:L2"/>
    <mergeCell ref="A1:L1"/>
  </mergeCells>
  <conditionalFormatting sqref="I5:I49">
    <cfRule type="cellIs" priority="1" operator="equal" dxfId="2">
      <formula>"완료"</formula>
    </cfRule>
    <cfRule type="cellIs" priority="2" operator="equal" dxfId="3">
      <formula>"확인중"</formula>
    </cfRule>
    <cfRule type="cellIs" priority="3" operator="equal" dxfId="4">
      <formula>"해당없음"</formula>
    </cfRule>
  </conditionalFormatting>
  <conditionalFormatting sqref="H5:H49">
    <cfRule type="cellIs" priority="4" operator="equal" dxfId="5">
      <formula>"P0"</formula>
    </cfRule>
    <cfRule type="cellIs" priority="5" operator="equal" dxfId="6">
      <formula>"P1"</formula>
    </cfRule>
    <cfRule type="cellIs" priority="6" operator="equal" dxfId="7">
      <formula>"P2"</formula>
    </cfRule>
  </conditionalFormatting>
  <dataValidations count="2">
    <dataValidation sqref="I5:I49" showDropDown="0" showInputMessage="0" showErrorMessage="0" allowBlank="1" type="list">
      <formula1>"미확인,확인중,완료,해당없음"</formula1>
    </dataValidation>
    <dataValidation sqref="H5:H49" showDropDown="0" showInputMessage="0" showErrorMessage="0" allowBlank="1" type="list">
      <formula1>"P0,P1,P2"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02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20" customWidth="1" min="3" max="3"/>
    <col width="16" customWidth="1" min="4" max="4"/>
    <col width="20" customWidth="1" min="5" max="5"/>
    <col width="7" customWidth="1" min="6" max="6"/>
    <col width="26" customWidth="1" min="7" max="7"/>
    <col width="22" customWidth="1" min="8" max="8"/>
    <col width="34" customWidth="1" min="9" max="9"/>
    <col width="11" customWidth="1" min="10" max="10"/>
    <col width="16" customWidth="1" min="11" max="11"/>
  </cols>
  <sheetData>
    <row r="1">
      <c r="A1" s="1" t="inlineStr">
        <is>
          <t>소스별 컬럼 정의서 — 어떤 컬럼이 있어야 하는가 (권장안)</t>
        </is>
      </c>
    </row>
    <row r="2">
      <c r="A2" s="2" t="inlineStr">
        <is>
          <t>연노랑 두 칸(사내 보유 · 사내 컬럼명)을 채우면 매핑표가 된다 · 필수 M / 권장 R / 선택 O</t>
        </is>
      </c>
    </row>
    <row r="4">
      <c r="A4" s="3" t="inlineStr">
        <is>
          <t>구분</t>
        </is>
      </c>
      <c r="B4" s="3" t="inlineStr">
        <is>
          <t>소스</t>
        </is>
      </c>
      <c r="C4" s="3" t="inlineStr">
        <is>
          <t>컬럼명</t>
        </is>
      </c>
      <c r="D4" s="3" t="inlineStr">
        <is>
          <t>논리명</t>
        </is>
      </c>
      <c r="E4" s="3" t="inlineStr">
        <is>
          <t>타입</t>
        </is>
      </c>
      <c r="F4" s="3" t="inlineStr">
        <is>
          <t>필수</t>
        </is>
      </c>
      <c r="G4" s="3" t="inlineStr">
        <is>
          <t>어디서 오나</t>
        </is>
      </c>
      <c r="H4" s="3" t="inlineStr">
        <is>
          <t>쓰이는 곳</t>
        </is>
      </c>
      <c r="I4" s="3" t="inlineStr">
        <is>
          <t>샘플값</t>
        </is>
      </c>
      <c r="J4" s="3" t="inlineStr">
        <is>
          <t>사내 보유</t>
        </is>
      </c>
      <c r="K4" s="3" t="inlineStr">
        <is>
          <t>사내 컬럼명</t>
        </is>
      </c>
    </row>
    <row r="5">
      <c r="A5" s="19" t="inlineStr">
        <is>
          <t>공통</t>
        </is>
      </c>
      <c r="B5" s="17" t="inlineStr">
        <is>
          <t>문서</t>
        </is>
      </c>
      <c r="C5" s="21" t="inlineStr">
        <is>
          <t>DOC_ID</t>
        </is>
      </c>
      <c r="D5" s="5" t="inlineStr">
        <is>
          <t>문서 고유 ID</t>
        </is>
      </c>
      <c r="E5" s="5" t="inlineStr">
        <is>
          <t>VARCHAR2(64)</t>
        </is>
      </c>
      <c r="F5" s="17" t="inlineStr">
        <is>
          <t>필수</t>
        </is>
      </c>
      <c r="G5" s="5" t="inlineStr">
        <is>
          <t>적재 시 생성 (소스코드+일자+일련)</t>
        </is>
      </c>
      <c r="H5" s="5" t="inlineStr">
        <is>
          <t>S01 · 전 단계 키</t>
        </is>
      </c>
      <c r="I5" s="22" t="inlineStr">
        <is>
          <t>NEWS_20260915_000123</t>
        </is>
      </c>
      <c r="J5" s="6" t="inlineStr"/>
      <c r="K5" s="6" t="inlineStr"/>
    </row>
    <row r="6">
      <c r="A6" s="19" t="inlineStr">
        <is>
          <t>공통</t>
        </is>
      </c>
      <c r="B6" s="17" t="inlineStr">
        <is>
          <t>문서</t>
        </is>
      </c>
      <c r="C6" s="21" t="inlineStr">
        <is>
          <t>SRC_SYSTEM</t>
        </is>
      </c>
      <c r="D6" s="5" t="inlineStr">
        <is>
          <t>원천 시스템</t>
        </is>
      </c>
      <c r="E6" s="5" t="inlineStr">
        <is>
          <t>VARCHAR2(32)</t>
        </is>
      </c>
      <c r="F6" s="17" t="inlineStr">
        <is>
          <t>필수</t>
        </is>
      </c>
      <c r="G6" s="5" t="inlineStr">
        <is>
          <t>수집 모듈</t>
        </is>
      </c>
      <c r="H6" s="5" t="inlineStr">
        <is>
          <t>S01 증분 · 재수집</t>
        </is>
      </c>
      <c r="I6" s="22" t="inlineStr">
        <is>
          <t>NEWS_CRAWL</t>
        </is>
      </c>
      <c r="J6" s="6" t="inlineStr"/>
      <c r="K6" s="6" t="inlineStr"/>
    </row>
    <row r="7">
      <c r="A7" s="19" t="inlineStr">
        <is>
          <t>공통</t>
        </is>
      </c>
      <c r="B7" s="17" t="inlineStr">
        <is>
          <t>문서</t>
        </is>
      </c>
      <c r="C7" s="21" t="inlineStr">
        <is>
          <t>SRC_KEY</t>
        </is>
      </c>
      <c r="D7" s="5" t="inlineStr">
        <is>
          <t>원천 키</t>
        </is>
      </c>
      <c r="E7" s="5" t="inlineStr">
        <is>
          <t>VARCHAR2(200)</t>
        </is>
      </c>
      <c r="F7" s="17" t="inlineStr">
        <is>
          <t>필수</t>
        </is>
      </c>
      <c r="G7" s="5" t="inlineStr">
        <is>
          <t>원천 시스템의 PK · URL · Message-ID</t>
        </is>
      </c>
      <c r="H7" s="5" t="inlineStr">
        <is>
          <t>S01 중복 · 갱신 판정</t>
        </is>
      </c>
      <c r="I7" s="22" t="inlineStr">
        <is>
          <t>hankyung:2026091500123</t>
        </is>
      </c>
      <c r="J7" s="6" t="inlineStr"/>
      <c r="K7" s="6" t="inlineStr"/>
    </row>
    <row r="8">
      <c r="A8" s="19" t="inlineStr">
        <is>
          <t>공통</t>
        </is>
      </c>
      <c r="B8" s="17" t="inlineStr">
        <is>
          <t>문서</t>
        </is>
      </c>
      <c r="C8" s="21" t="inlineStr">
        <is>
          <t>DATA_SOURCE</t>
        </is>
      </c>
      <c r="D8" s="5" t="inlineStr">
        <is>
          <t>사외/사내</t>
        </is>
      </c>
      <c r="E8" s="5" t="inlineStr">
        <is>
          <t>VARCHAR2(16)</t>
        </is>
      </c>
      <c r="F8" s="17" t="inlineStr">
        <is>
          <t>필수</t>
        </is>
      </c>
      <c r="G8" s="5" t="inlineStr">
        <is>
          <t>수집 경로</t>
        </is>
      </c>
      <c r="H8" s="5" t="inlineStr">
        <is>
          <t>S10 필터 · S28 권한</t>
        </is>
      </c>
      <c r="I8" s="22" t="inlineStr">
        <is>
          <t>EXTERNAL</t>
        </is>
      </c>
      <c r="J8" s="6" t="inlineStr"/>
      <c r="K8" s="6" t="inlineStr"/>
    </row>
    <row r="9">
      <c r="A9" s="19" t="inlineStr">
        <is>
          <t>공통</t>
        </is>
      </c>
      <c r="B9" s="17" t="inlineStr">
        <is>
          <t>문서</t>
        </is>
      </c>
      <c r="C9" s="21" t="inlineStr">
        <is>
          <t>DOC_TYPE</t>
        </is>
      </c>
      <c r="D9" s="5" t="inlineStr">
        <is>
          <t>문서 유형</t>
        </is>
      </c>
      <c r="E9" s="5" t="inlineStr">
        <is>
          <t>VARCHAR2(32)</t>
        </is>
      </c>
      <c r="F9" s="17" t="inlineStr">
        <is>
          <t>필수</t>
        </is>
      </c>
      <c r="G9" s="5" t="inlineStr">
        <is>
          <t>수집 경로 · 분류</t>
        </is>
      </c>
      <c r="H9" s="5" t="inlineStr">
        <is>
          <t>S03 청킹 규칙 · S10 필터</t>
        </is>
      </c>
      <c r="I9" s="22" t="inlineStr">
        <is>
          <t>NEWS</t>
        </is>
      </c>
      <c r="J9" s="6" t="inlineStr"/>
      <c r="K9" s="6" t="inlineStr"/>
    </row>
    <row r="10">
      <c r="A10" s="19" t="inlineStr">
        <is>
          <t>공통</t>
        </is>
      </c>
      <c r="B10" s="17" t="inlineStr">
        <is>
          <t>문서</t>
        </is>
      </c>
      <c r="C10" s="21" t="inlineStr">
        <is>
          <t>TITLE</t>
        </is>
      </c>
      <c r="D10" s="5" t="inlineStr">
        <is>
          <t>제목</t>
        </is>
      </c>
      <c r="E10" s="5" t="inlineStr">
        <is>
          <t>VARCHAR2(1000 CHAR)</t>
        </is>
      </c>
      <c r="F10" s="17" t="inlineStr">
        <is>
          <t>필수</t>
        </is>
      </c>
      <c r="G10" s="5" t="inlineStr">
        <is>
          <t>원문</t>
        </is>
      </c>
      <c r="H10" s="5" t="inlineStr">
        <is>
          <t>S03 헤더 · S14 인용</t>
        </is>
      </c>
      <c r="I10" s="22" t="inlineStr">
        <is>
          <t>마이크론, 히로시마 HBM 라인 증설</t>
        </is>
      </c>
      <c r="J10" s="6" t="inlineStr"/>
      <c r="K10" s="6" t="inlineStr"/>
    </row>
    <row r="11">
      <c r="A11" s="19" t="inlineStr">
        <is>
          <t>공통</t>
        </is>
      </c>
      <c r="B11" s="17" t="inlineStr">
        <is>
          <t>문서</t>
        </is>
      </c>
      <c r="C11" s="21" t="inlineStr">
        <is>
          <t>PUBLISHED_AT</t>
        </is>
      </c>
      <c r="D11" s="5" t="inlineStr">
        <is>
          <t>작성 · 발행일시</t>
        </is>
      </c>
      <c r="E11" s="5" t="inlineStr">
        <is>
          <t>DATE</t>
        </is>
      </c>
      <c r="F11" s="17" t="inlineStr">
        <is>
          <t>필수</t>
        </is>
      </c>
      <c r="G11" s="5" t="inlineStr">
        <is>
          <t>원문 (없으면 NULL)</t>
        </is>
      </c>
      <c r="H11" s="5" t="inlineStr">
        <is>
          <t>S08 기간필터 · S12 최신성 · S19 센싱</t>
        </is>
      </c>
      <c r="I11" s="22" t="inlineStr">
        <is>
          <t>2026-09-15 08:12</t>
        </is>
      </c>
      <c r="J11" s="6" t="inlineStr"/>
      <c r="K11" s="6" t="inlineStr"/>
    </row>
    <row r="12">
      <c r="A12" s="19" t="inlineStr">
        <is>
          <t>공통</t>
        </is>
      </c>
      <c r="B12" s="17" t="inlineStr">
        <is>
          <t>문서</t>
        </is>
      </c>
      <c r="C12" s="21" t="inlineStr">
        <is>
          <t>DATE_QUALITY</t>
        </is>
      </c>
      <c r="D12" s="5" t="inlineStr">
        <is>
          <t>날짜 품질</t>
        </is>
      </c>
      <c r="E12" s="5" t="inlineStr">
        <is>
          <t>VARCHAR2(10)</t>
        </is>
      </c>
      <c r="F12" s="17" t="inlineStr">
        <is>
          <t>권장</t>
        </is>
      </c>
      <c r="G12" s="5" t="inlineStr">
        <is>
          <t>EXACT / ESTIMATED / MISSING</t>
        </is>
      </c>
      <c r="H12" s="5" t="inlineStr">
        <is>
          <t>S08 필터 신뢰도</t>
        </is>
      </c>
      <c r="I12" s="22" t="inlineStr">
        <is>
          <t>EXACT</t>
        </is>
      </c>
      <c r="J12" s="6" t="inlineStr"/>
      <c r="K12" s="6" t="inlineStr"/>
    </row>
    <row r="13">
      <c r="A13" s="19" t="inlineStr">
        <is>
          <t>공통</t>
        </is>
      </c>
      <c r="B13" s="17" t="inlineStr">
        <is>
          <t>문서</t>
        </is>
      </c>
      <c r="C13" s="21" t="inlineStr">
        <is>
          <t>COLLECTED_AT</t>
        </is>
      </c>
      <c r="D13" s="5" t="inlineStr">
        <is>
          <t>수집일시</t>
        </is>
      </c>
      <c r="E13" s="5" t="inlineStr">
        <is>
          <t>DATE</t>
        </is>
      </c>
      <c r="F13" s="17" t="inlineStr">
        <is>
          <t>필수</t>
        </is>
      </c>
      <c r="G13" s="5" t="inlineStr">
        <is>
          <t>수집 모듈</t>
        </is>
      </c>
      <c r="H13" s="5" t="inlineStr">
        <is>
          <t>S01 운영 · 지연 점검</t>
        </is>
      </c>
      <c r="I13" s="22" t="inlineStr">
        <is>
          <t>2026-09-15 09:00</t>
        </is>
      </c>
      <c r="J13" s="6" t="inlineStr"/>
      <c r="K13" s="6" t="inlineStr"/>
    </row>
    <row r="14">
      <c r="A14" s="19" t="inlineStr">
        <is>
          <t>공통</t>
        </is>
      </c>
      <c r="B14" s="17" t="inlineStr">
        <is>
          <t>문서</t>
        </is>
      </c>
      <c r="C14" s="21" t="inlineStr">
        <is>
          <t>ORG_NAME</t>
        </is>
      </c>
      <c r="D14" s="5" t="inlineStr">
        <is>
          <t>기관 · 부서</t>
        </is>
      </c>
      <c r="E14" s="5" t="inlineStr">
        <is>
          <t>VARCHAR2(200 CHAR)</t>
        </is>
      </c>
      <c r="F14" s="17" t="inlineStr">
        <is>
          <t>필수</t>
        </is>
      </c>
      <c r="G14" s="5" t="inlineStr">
        <is>
          <t>언론사 · 증권사 · 기관 · 작성 부서</t>
        </is>
      </c>
      <c r="H14" s="5" t="inlineStr">
        <is>
          <t>S03 헤더 · S14 인용 · 필터</t>
        </is>
      </c>
      <c r="I14" s="22" t="inlineStr">
        <is>
          <t>한국경제</t>
        </is>
      </c>
      <c r="J14" s="6" t="inlineStr"/>
      <c r="K14" s="6" t="inlineStr"/>
    </row>
    <row r="15">
      <c r="A15" s="19" t="inlineStr">
        <is>
          <t>공통</t>
        </is>
      </c>
      <c r="B15" s="17" t="inlineStr">
        <is>
          <t>문서</t>
        </is>
      </c>
      <c r="C15" s="21" t="inlineStr">
        <is>
          <t>AUTHOR</t>
        </is>
      </c>
      <c r="D15" s="5" t="inlineStr">
        <is>
          <t>작성자</t>
        </is>
      </c>
      <c r="E15" s="5" t="inlineStr">
        <is>
          <t>VARCHAR2(200 CHAR)</t>
        </is>
      </c>
      <c r="F15" s="17" t="inlineStr">
        <is>
          <t>권장</t>
        </is>
      </c>
      <c r="G15" s="5" t="inlineStr">
        <is>
          <t>기자 · 애널리스트 · 작성자</t>
        </is>
      </c>
      <c r="H15" s="5" t="inlineStr">
        <is>
          <t>S14 인용</t>
        </is>
      </c>
      <c r="I15" s="22" t="inlineStr">
        <is>
          <t>김기술</t>
        </is>
      </c>
      <c r="J15" s="6" t="inlineStr"/>
      <c r="K15" s="6" t="inlineStr"/>
    </row>
    <row r="16">
      <c r="A16" s="19" t="inlineStr">
        <is>
          <t>공통</t>
        </is>
      </c>
      <c r="B16" s="17" t="inlineStr">
        <is>
          <t>문서</t>
        </is>
      </c>
      <c r="C16" s="21" t="inlineStr">
        <is>
          <t>SRC_URL</t>
        </is>
      </c>
      <c r="D16" s="5" t="inlineStr">
        <is>
          <t>원문 링크 · 경로</t>
        </is>
      </c>
      <c r="E16" s="5" t="inlineStr">
        <is>
          <t>VARCHAR2(2000)</t>
        </is>
      </c>
      <c r="F16" s="17" t="inlineStr">
        <is>
          <t>권장</t>
        </is>
      </c>
      <c r="G16" s="5" t="inlineStr">
        <is>
          <t>URL 또는 파일 경로</t>
        </is>
      </c>
      <c r="H16" s="5" t="inlineStr">
        <is>
          <t>UI 원문 이동 · 재파싱</t>
        </is>
      </c>
      <c r="I16" s="22" t="inlineStr">
        <is>
          <t>https://…/2026/09/15/123</t>
        </is>
      </c>
      <c r="J16" s="6" t="inlineStr"/>
      <c r="K16" s="6" t="inlineStr"/>
    </row>
    <row r="17">
      <c r="A17" s="19" t="inlineStr">
        <is>
          <t>공통</t>
        </is>
      </c>
      <c r="B17" s="17" t="inlineStr">
        <is>
          <t>문서</t>
        </is>
      </c>
      <c r="C17" s="21" t="inlineStr">
        <is>
          <t>FILE_PATH</t>
        </is>
      </c>
      <c r="D17" s="5" t="inlineStr">
        <is>
          <t>원본 파일 경로</t>
        </is>
      </c>
      <c r="E17" s="5" t="inlineStr">
        <is>
          <t>VARCHAR2(1000)</t>
        </is>
      </c>
      <c r="F17" s="17" t="inlineStr">
        <is>
          <t>권장</t>
        </is>
      </c>
      <c r="G17" s="5" t="inlineStr">
        <is>
          <t>파일 서버 · 그룹웨어</t>
        </is>
      </c>
      <c r="H17" s="5" t="inlineStr">
        <is>
          <t>처리흐름 0번(재파싱 가능 여부)</t>
        </is>
      </c>
      <c r="I17" s="22" t="inlineStr">
        <is>
          <t>\\fs01\reports\2026\R-0912.pptx</t>
        </is>
      </c>
      <c r="J17" s="6" t="inlineStr"/>
      <c r="K17" s="6" t="inlineStr"/>
    </row>
    <row r="18">
      <c r="A18" s="19" t="inlineStr">
        <is>
          <t>공통</t>
        </is>
      </c>
      <c r="B18" s="17" t="inlineStr">
        <is>
          <t>문서</t>
        </is>
      </c>
      <c r="C18" s="21" t="inlineStr">
        <is>
          <t>LANG</t>
        </is>
      </c>
      <c r="D18" s="5" t="inlineStr">
        <is>
          <t>언어</t>
        </is>
      </c>
      <c r="E18" s="5" t="inlineStr">
        <is>
          <t>VARCHAR2(8)</t>
        </is>
      </c>
      <c r="F18" s="17" t="inlineStr">
        <is>
          <t>권장</t>
        </is>
      </c>
      <c r="G18" s="5" t="inlineStr">
        <is>
          <t>판별 또는 소스 고정</t>
        </is>
      </c>
      <c r="H18" s="5" t="inlineStr">
        <is>
          <t>S08 질의 확장</t>
        </is>
      </c>
      <c r="I18" s="22" t="inlineStr">
        <is>
          <t>ko</t>
        </is>
      </c>
      <c r="J18" s="6" t="inlineStr"/>
      <c r="K18" s="6" t="inlineStr"/>
    </row>
    <row r="19">
      <c r="A19" s="19" t="inlineStr">
        <is>
          <t>공통</t>
        </is>
      </c>
      <c r="B19" s="17" t="inlineStr">
        <is>
          <t>문서</t>
        </is>
      </c>
      <c r="C19" s="21" t="inlineStr">
        <is>
          <t>SECURITY_LEVEL</t>
        </is>
      </c>
      <c r="D19" s="5" t="inlineStr">
        <is>
          <t>보안 등급</t>
        </is>
      </c>
      <c r="E19" s="5" t="inlineStr">
        <is>
          <t>NUMBER(1)</t>
        </is>
      </c>
      <c r="F19" s="17" t="inlineStr">
        <is>
          <t>필수</t>
        </is>
      </c>
      <c r="G19" s="5" t="inlineStr">
        <is>
          <t>0 공개 1 사내 2 대외비 3 임원</t>
        </is>
      </c>
      <c r="H19" s="5" t="inlineStr">
        <is>
          <t>S10 필터 · S28 권한</t>
        </is>
      </c>
      <c r="I19" s="22" t="inlineStr">
        <is>
          <t>0</t>
        </is>
      </c>
      <c r="J19" s="6" t="inlineStr"/>
      <c r="K19" s="6" t="inlineStr"/>
    </row>
    <row r="20">
      <c r="A20" s="19" t="inlineStr">
        <is>
          <t>공통</t>
        </is>
      </c>
      <c r="B20" s="17" t="inlineStr">
        <is>
          <t>문서</t>
        </is>
      </c>
      <c r="C20" s="21" t="inlineStr">
        <is>
          <t>CONTENT_HASH</t>
        </is>
      </c>
      <c r="D20" s="5" t="inlineStr">
        <is>
          <t>본문 해시</t>
        </is>
      </c>
      <c r="E20" s="5" t="inlineStr">
        <is>
          <t>VARCHAR2(64)</t>
        </is>
      </c>
      <c r="F20" s="17" t="inlineStr">
        <is>
          <t>필수</t>
        </is>
      </c>
      <c r="G20" s="5" t="inlineStr">
        <is>
          <t>SHA-256(정제 본문)</t>
        </is>
      </c>
      <c r="H20" s="5" t="inlineStr">
        <is>
          <t>S01 중복 · 변경 감지</t>
        </is>
      </c>
      <c r="I20" s="22" t="inlineStr">
        <is>
          <t>a3f9…</t>
        </is>
      </c>
      <c r="J20" s="6" t="inlineStr"/>
      <c r="K20" s="6" t="inlineStr"/>
    </row>
    <row r="21">
      <c r="A21" s="19" t="inlineStr">
        <is>
          <t>공통</t>
        </is>
      </c>
      <c r="B21" s="17" t="inlineStr">
        <is>
          <t>문서</t>
        </is>
      </c>
      <c r="C21" s="21" t="inlineStr">
        <is>
          <t>TAGS</t>
        </is>
      </c>
      <c r="D21" s="5" t="inlineStr">
        <is>
          <t>태그(JSON)</t>
        </is>
      </c>
      <c r="E21" s="5" t="inlineStr">
        <is>
          <t>CLOB(JSON)</t>
        </is>
      </c>
      <c r="F21" s="17" t="inlineStr">
        <is>
          <t>권장</t>
        </is>
      </c>
      <c r="G21" s="5" t="inlineStr">
        <is>
          <t>LLM 추출 + 사전</t>
        </is>
      </c>
      <c r="H21" s="5" t="inlineStr">
        <is>
          <t>S05 · S19 센싱 · S24 라우팅</t>
        </is>
      </c>
      <c r="I21" s="22" t="inlineStr">
        <is>
          <t>{"company":["마이크론"],"product":["HBM"]}</t>
        </is>
      </c>
      <c r="J21" s="6" t="inlineStr"/>
      <c r="K21" s="6" t="inlineStr"/>
    </row>
    <row r="22">
      <c r="A22" s="19" t="inlineStr">
        <is>
          <t>공통</t>
        </is>
      </c>
      <c r="B22" s="17" t="inlineStr">
        <is>
          <t>문서</t>
        </is>
      </c>
      <c r="C22" s="21" t="inlineStr">
        <is>
          <t>META_EXTRA</t>
        </is>
      </c>
      <c r="D22" s="5" t="inlineStr">
        <is>
          <t>가변 메타(JSON)</t>
        </is>
      </c>
      <c r="E22" s="5" t="inlineStr">
        <is>
          <t>CLOB(JSON)</t>
        </is>
      </c>
      <c r="F22" s="17" t="inlineStr">
        <is>
          <t>필수</t>
        </is>
      </c>
      <c r="G22" s="5" t="inlineStr">
        <is>
          <t>소스별 고유 항목 (아래 표)</t>
        </is>
      </c>
      <c r="H22" s="5" t="inlineStr">
        <is>
          <t>S05 표시 · 보조 필터</t>
        </is>
      </c>
      <c r="I22" s="22" t="inlineStr">
        <is>
          <t>{"category":"IT/테크"}</t>
        </is>
      </c>
      <c r="J22" s="6" t="inlineStr"/>
      <c r="K22" s="6" t="inlineStr"/>
    </row>
    <row r="23">
      <c r="A23" s="19" t="inlineStr">
        <is>
          <t>공통</t>
        </is>
      </c>
      <c r="B23" s="17" t="inlineStr">
        <is>
          <t>문서</t>
        </is>
      </c>
      <c r="C23" s="21" t="inlineStr">
        <is>
          <t>IS_DELETED</t>
        </is>
      </c>
      <c r="D23" s="5" t="inlineStr">
        <is>
          <t>삭제 여부</t>
        </is>
      </c>
      <c r="E23" s="5" t="inlineStr">
        <is>
          <t>CHAR(1)</t>
        </is>
      </c>
      <c r="F23" s="17" t="inlineStr">
        <is>
          <t>필수</t>
        </is>
      </c>
      <c r="G23" s="5" t="inlineStr">
        <is>
          <t>원천 삭제 · 폐기 반영</t>
        </is>
      </c>
      <c r="H23" s="5" t="inlineStr">
        <is>
          <t>S06 동기화</t>
        </is>
      </c>
      <c r="I23" s="22" t="inlineStr">
        <is>
          <t>N</t>
        </is>
      </c>
      <c r="J23" s="6" t="inlineStr"/>
      <c r="K23" s="6" t="inlineStr"/>
    </row>
    <row r="24">
      <c r="A24" s="19" t="inlineStr">
        <is>
          <t>공통</t>
        </is>
      </c>
      <c r="B24" s="17" t="inlineStr">
        <is>
          <t>문서</t>
        </is>
      </c>
      <c r="C24" s="21" t="inlineStr">
        <is>
          <t>UPD_DATE</t>
        </is>
      </c>
      <c r="D24" s="5" t="inlineStr">
        <is>
          <t>갱신일시</t>
        </is>
      </c>
      <c r="E24" s="5" t="inlineStr">
        <is>
          <t>DATE</t>
        </is>
      </c>
      <c r="F24" s="17" t="inlineStr">
        <is>
          <t>필수</t>
        </is>
      </c>
      <c r="G24" s="5" t="inlineStr">
        <is>
          <t>적재 시각</t>
        </is>
      </c>
      <c r="H24" s="5" t="inlineStr">
        <is>
          <t>S06 증분 동기화</t>
        </is>
      </c>
      <c r="I24" s="22" t="inlineStr">
        <is>
          <t>2026-09-15 09:00</t>
        </is>
      </c>
      <c r="J24" s="6" t="inlineStr"/>
      <c r="K24" s="6" t="inlineStr"/>
    </row>
    <row r="25">
      <c r="A25" s="19" t="inlineStr">
        <is>
          <t>공통</t>
        </is>
      </c>
      <c r="B25" s="17" t="inlineStr">
        <is>
          <t>청크</t>
        </is>
      </c>
      <c r="C25" s="21" t="inlineStr">
        <is>
          <t>CHUNK_ID</t>
        </is>
      </c>
      <c r="D25" s="5" t="inlineStr">
        <is>
          <t>청크 ID</t>
        </is>
      </c>
      <c r="E25" s="5" t="inlineStr">
        <is>
          <t>VARCHAR2(100)</t>
        </is>
      </c>
      <c r="F25" s="17" t="inlineStr">
        <is>
          <t>필수</t>
        </is>
      </c>
      <c r="G25" s="5" t="inlineStr">
        <is>
          <t>DOC_ID + 순번</t>
        </is>
      </c>
      <c r="H25" s="5" t="inlineStr">
        <is>
          <t>S06 Milvus PK</t>
        </is>
      </c>
      <c r="I25" s="22" t="inlineStr">
        <is>
          <t>NEWS_20260915_000123_0001</t>
        </is>
      </c>
      <c r="J25" s="6" t="inlineStr"/>
      <c r="K25" s="6" t="inlineStr"/>
    </row>
    <row r="26">
      <c r="A26" s="19" t="inlineStr">
        <is>
          <t>공통</t>
        </is>
      </c>
      <c r="B26" s="17" t="inlineStr">
        <is>
          <t>청크</t>
        </is>
      </c>
      <c r="C26" s="21" t="inlineStr">
        <is>
          <t>DOC_ID</t>
        </is>
      </c>
      <c r="D26" s="5" t="inlineStr">
        <is>
          <t>문서 ID</t>
        </is>
      </c>
      <c r="E26" s="5" t="inlineStr">
        <is>
          <t>VARCHAR2(64)</t>
        </is>
      </c>
      <c r="F26" s="17" t="inlineStr">
        <is>
          <t>필수</t>
        </is>
      </c>
      <c r="G26" s="5" t="inlineStr">
        <is>
          <t>RAG_DOC 참조</t>
        </is>
      </c>
      <c r="H26" s="5" t="inlineStr">
        <is>
          <t>인용 · 문서당 상한</t>
        </is>
      </c>
      <c r="I26" s="22" t="inlineStr">
        <is>
          <t>NEWS_20260915_000123</t>
        </is>
      </c>
      <c r="J26" s="6" t="inlineStr"/>
      <c r="K26" s="6" t="inlineStr"/>
    </row>
    <row r="27">
      <c r="A27" s="19" t="inlineStr">
        <is>
          <t>공통</t>
        </is>
      </c>
      <c r="B27" s="17" t="inlineStr">
        <is>
          <t>청크</t>
        </is>
      </c>
      <c r="C27" s="21" t="inlineStr">
        <is>
          <t>CHUNK_SEQ</t>
        </is>
      </c>
      <c r="D27" s="5" t="inlineStr">
        <is>
          <t>순번</t>
        </is>
      </c>
      <c r="E27" s="5" t="inlineStr">
        <is>
          <t>NUMBER(6)</t>
        </is>
      </c>
      <c r="F27" s="17" t="inlineStr">
        <is>
          <t>필수</t>
        </is>
      </c>
      <c r="G27" s="5" t="inlineStr">
        <is>
          <t>분할 순서</t>
        </is>
      </c>
      <c r="H27" s="5" t="inlineStr">
        <is>
          <t>인접 확장</t>
        </is>
      </c>
      <c r="I27" s="22" t="inlineStr">
        <is>
          <t>1</t>
        </is>
      </c>
      <c r="J27" s="6" t="inlineStr"/>
      <c r="K27" s="6" t="inlineStr"/>
    </row>
    <row r="28">
      <c r="A28" s="19" t="inlineStr">
        <is>
          <t>공통</t>
        </is>
      </c>
      <c r="B28" s="17" t="inlineStr">
        <is>
          <t>청크</t>
        </is>
      </c>
      <c r="C28" s="21" t="inlineStr">
        <is>
          <t>PARENT_ID</t>
        </is>
      </c>
      <c r="D28" s="5" t="inlineStr">
        <is>
          <t>부모 청크</t>
        </is>
      </c>
      <c r="E28" s="5" t="inlineStr">
        <is>
          <t>VARCHAR2(100)</t>
        </is>
      </c>
      <c r="F28" s="17" t="inlineStr">
        <is>
          <t>선택</t>
        </is>
      </c>
      <c r="G28" s="5" t="inlineStr">
        <is>
          <t>Parent-Child 구조</t>
        </is>
      </c>
      <c r="H28" s="5" t="inlineStr">
        <is>
          <t>S03-4 · S13 확장</t>
        </is>
      </c>
      <c r="I28" s="22" t="inlineStr"/>
      <c r="J28" s="6" t="inlineStr"/>
      <c r="K28" s="6" t="inlineStr"/>
    </row>
    <row r="29">
      <c r="A29" s="19" t="inlineStr">
        <is>
          <t>공통</t>
        </is>
      </c>
      <c r="B29" s="17" t="inlineStr">
        <is>
          <t>청크</t>
        </is>
      </c>
      <c r="C29" s="21" t="inlineStr">
        <is>
          <t>CHUNK_KIND</t>
        </is>
      </c>
      <c r="D29" s="5" t="inlineStr">
        <is>
          <t>청크 종류</t>
        </is>
      </c>
      <c r="E29" s="5" t="inlineStr">
        <is>
          <t>VARCHAR2(10)</t>
        </is>
      </c>
      <c r="F29" s="17" t="inlineStr">
        <is>
          <t>권장</t>
        </is>
      </c>
      <c r="G29" s="5" t="inlineStr">
        <is>
          <t>TEXT / TABLE / SUMMARY</t>
        </is>
      </c>
      <c r="H29" s="5" t="inlineStr">
        <is>
          <t>S03 표 분리 · 수치 질문</t>
        </is>
      </c>
      <c r="I29" s="22" t="inlineStr">
        <is>
          <t>TEXT</t>
        </is>
      </c>
      <c r="J29" s="6" t="inlineStr"/>
      <c r="K29" s="6" t="inlineStr"/>
    </row>
    <row r="30">
      <c r="A30" s="19" t="inlineStr">
        <is>
          <t>공통</t>
        </is>
      </c>
      <c r="B30" s="17" t="inlineStr">
        <is>
          <t>청크</t>
        </is>
      </c>
      <c r="C30" s="21" t="inlineStr">
        <is>
          <t>SECTION_PATH</t>
        </is>
      </c>
      <c r="D30" s="5" t="inlineStr">
        <is>
          <t>섹션 경로</t>
        </is>
      </c>
      <c r="E30" s="5" t="inlineStr">
        <is>
          <t>VARCHAR2(1000 CHAR)</t>
        </is>
      </c>
      <c r="F30" s="17" t="inlineStr">
        <is>
          <t>권장</t>
        </is>
      </c>
      <c r="G30" s="5" t="inlineStr">
        <is>
          <t>헤딩 · 안건 · 슬라이드 번호</t>
        </is>
      </c>
      <c r="H30" s="5" t="inlineStr">
        <is>
          <t>S03 헤더 · 인용</t>
        </is>
      </c>
      <c r="I30" s="22" t="inlineStr">
        <is>
          <t>3. 공급 &gt; 3.2 DRAM 증설</t>
        </is>
      </c>
      <c r="J30" s="6" t="inlineStr"/>
      <c r="K30" s="6" t="inlineStr"/>
    </row>
    <row r="31">
      <c r="A31" s="19" t="inlineStr">
        <is>
          <t>공통</t>
        </is>
      </c>
      <c r="B31" s="17" t="inlineStr">
        <is>
          <t>청크</t>
        </is>
      </c>
      <c r="C31" s="21" t="inlineStr">
        <is>
          <t>HEADER_TEXT</t>
        </is>
      </c>
      <c r="D31" s="5" t="inlineStr">
        <is>
          <t>문맥 헤더</t>
        </is>
      </c>
      <c r="E31" s="5" t="inlineStr">
        <is>
          <t>VARCHAR2(1000 CHAR)</t>
        </is>
      </c>
      <c r="F31" s="17" t="inlineStr">
        <is>
          <t>필수</t>
        </is>
      </c>
      <c r="G31" s="5" t="inlineStr">
        <is>
          <t>[유형|날짜|기관|제목|섹션] 생성</t>
        </is>
      </c>
      <c r="H31" s="5" t="inlineStr">
        <is>
          <t>S03-3 · S04 dense 입력</t>
        </is>
      </c>
      <c r="I31" s="22" t="inlineStr">
        <is>
          <t>[뉴스 | 2026-09-15 | 한국경제 | 마이크론…]</t>
        </is>
      </c>
      <c r="J31" s="6" t="inlineStr"/>
      <c r="K31" s="6" t="inlineStr"/>
    </row>
    <row r="32">
      <c r="A32" s="19" t="inlineStr">
        <is>
          <t>공통</t>
        </is>
      </c>
      <c r="B32" s="17" t="inlineStr">
        <is>
          <t>청크</t>
        </is>
      </c>
      <c r="C32" s="21" t="inlineStr">
        <is>
          <t>CHUNK_TEXT</t>
        </is>
      </c>
      <c r="D32" s="5" t="inlineStr">
        <is>
          <t>청크 본문</t>
        </is>
      </c>
      <c r="E32" s="5" t="inlineStr">
        <is>
          <t>CLOB</t>
        </is>
      </c>
      <c r="F32" s="17" t="inlineStr">
        <is>
          <t>필수</t>
        </is>
      </c>
      <c r="G32" s="5" t="inlineStr">
        <is>
          <t>정제 후 분할</t>
        </is>
      </c>
      <c r="H32" s="5" t="inlineStr">
        <is>
          <t>S04 임베딩 · S12 리랭크</t>
        </is>
      </c>
      <c r="I32" s="22" t="inlineStr">
        <is>
          <t>마이크론이 일본 히로시마 공장에…</t>
        </is>
      </c>
      <c r="J32" s="6" t="inlineStr"/>
      <c r="K32" s="6" t="inlineStr"/>
    </row>
    <row r="33">
      <c r="A33" s="19" t="inlineStr">
        <is>
          <t>공통</t>
        </is>
      </c>
      <c r="B33" s="17" t="inlineStr">
        <is>
          <t>청크</t>
        </is>
      </c>
      <c r="C33" s="21" t="inlineStr">
        <is>
          <t>TOKEN_CNT</t>
        </is>
      </c>
      <c r="D33" s="5" t="inlineStr">
        <is>
          <t>토큰 수</t>
        </is>
      </c>
      <c r="E33" s="5" t="inlineStr">
        <is>
          <t>NUMBER(6)</t>
        </is>
      </c>
      <c r="F33" s="17" t="inlineStr">
        <is>
          <t>권장</t>
        </is>
      </c>
      <c r="G33" s="5" t="inlineStr">
        <is>
          <t>임베딩 토크나이저</t>
        </is>
      </c>
      <c r="H33" s="5" t="inlineStr">
        <is>
          <t>S04-1 잘림 점검</t>
        </is>
      </c>
      <c r="I33" s="22" t="inlineStr">
        <is>
          <t>412</t>
        </is>
      </c>
      <c r="J33" s="6" t="inlineStr"/>
      <c r="K33" s="6" t="inlineStr"/>
    </row>
    <row r="34">
      <c r="A34" s="19" t="inlineStr">
        <is>
          <t>공통</t>
        </is>
      </c>
      <c r="B34" s="17" t="inlineStr">
        <is>
          <t>청크</t>
        </is>
      </c>
      <c r="C34" s="21" t="inlineStr">
        <is>
          <t>CHUNKER_VER</t>
        </is>
      </c>
      <c r="D34" s="5" t="inlineStr">
        <is>
          <t>청커 버전</t>
        </is>
      </c>
      <c r="E34" s="5" t="inlineStr">
        <is>
          <t>VARCHAR2(16)</t>
        </is>
      </c>
      <c r="F34" s="17" t="inlineStr">
        <is>
          <t>권장</t>
        </is>
      </c>
      <c r="G34" s="5" t="inlineStr">
        <is>
          <t>분할 규칙 버전</t>
        </is>
      </c>
      <c r="H34" s="5" t="inlineStr">
        <is>
          <t>재청킹 비교</t>
        </is>
      </c>
      <c r="I34" s="22" t="inlineStr">
        <is>
          <t>v2</t>
        </is>
      </c>
      <c r="J34" s="6" t="inlineStr"/>
      <c r="K34" s="6" t="inlineStr"/>
    </row>
    <row r="35">
      <c r="A35" s="19" t="inlineStr">
        <is>
          <t>소스별</t>
        </is>
      </c>
      <c r="B35" s="17" t="inlineStr">
        <is>
          <t>뉴스</t>
        </is>
      </c>
      <c r="C35" s="21" t="inlineStr">
        <is>
          <t>publisher</t>
        </is>
      </c>
      <c r="D35" s="5" t="inlineStr">
        <is>
          <t>언론사</t>
        </is>
      </c>
      <c r="E35" s="5" t="inlineStr">
        <is>
          <t>VARCHAR2(100)</t>
        </is>
      </c>
      <c r="F35" s="17" t="inlineStr">
        <is>
          <t>필수</t>
        </is>
      </c>
      <c r="G35" s="5" t="inlineStr">
        <is>
          <t>수집 메타 (= ORG_NAME)</t>
        </is>
      </c>
      <c r="H35" s="5" t="inlineStr">
        <is>
          <t>필터 · 인용</t>
        </is>
      </c>
      <c r="I35" s="22" t="inlineStr">
        <is>
          <t>한국경제</t>
        </is>
      </c>
      <c r="J35" s="6" t="inlineStr"/>
      <c r="K35" s="6" t="inlineStr"/>
    </row>
    <row r="36">
      <c r="A36" s="19" t="inlineStr">
        <is>
          <t>소스별</t>
        </is>
      </c>
      <c r="B36" s="17" t="inlineStr">
        <is>
          <t>뉴스</t>
        </is>
      </c>
      <c r="C36" s="21" t="inlineStr">
        <is>
          <t>reporter</t>
        </is>
      </c>
      <c r="D36" s="5" t="inlineStr">
        <is>
          <t>기자</t>
        </is>
      </c>
      <c r="E36" s="5" t="inlineStr">
        <is>
          <t>VARCHAR2(100)</t>
        </is>
      </c>
      <c r="F36" s="17" t="inlineStr">
        <is>
          <t>권장</t>
        </is>
      </c>
      <c r="G36" s="5" t="inlineStr">
        <is>
          <t>기사 바이라인</t>
        </is>
      </c>
      <c r="H36" s="5" t="inlineStr">
        <is>
          <t>인용</t>
        </is>
      </c>
      <c r="I36" s="22" t="inlineStr">
        <is>
          <t>김기술</t>
        </is>
      </c>
      <c r="J36" s="6" t="inlineStr"/>
      <c r="K36" s="6" t="inlineStr"/>
    </row>
    <row r="37">
      <c r="A37" s="19" t="inlineStr">
        <is>
          <t>소스별</t>
        </is>
      </c>
      <c r="B37" s="17" t="inlineStr">
        <is>
          <t>뉴스</t>
        </is>
      </c>
      <c r="C37" s="21" t="inlineStr">
        <is>
          <t>category</t>
        </is>
      </c>
      <c r="D37" s="5" t="inlineStr">
        <is>
          <t>분야</t>
        </is>
      </c>
      <c r="E37" s="5" t="inlineStr">
        <is>
          <t>VARCHAR2(50)</t>
        </is>
      </c>
      <c r="F37" s="17" t="inlineStr">
        <is>
          <t>권장</t>
        </is>
      </c>
      <c r="G37" s="5" t="inlineStr">
        <is>
          <t>언론사 분류</t>
        </is>
      </c>
      <c r="H37" s="5" t="inlineStr">
        <is>
          <t>필터 · 센싱 축 매핑</t>
        </is>
      </c>
      <c r="I37" s="22" t="inlineStr">
        <is>
          <t>IT/테크</t>
        </is>
      </c>
      <c r="J37" s="6" t="inlineStr"/>
      <c r="K37" s="6" t="inlineStr"/>
    </row>
    <row r="38">
      <c r="A38" s="19" t="inlineStr">
        <is>
          <t>소스별</t>
        </is>
      </c>
      <c r="B38" s="17" t="inlineStr">
        <is>
          <t>뉴스</t>
        </is>
      </c>
      <c r="C38" s="21" t="inlineStr">
        <is>
          <t>cluster_id</t>
        </is>
      </c>
      <c r="D38" s="5" t="inlineStr">
        <is>
          <t>사건 묶음 ID</t>
        </is>
      </c>
      <c r="E38" s="5" t="inlineStr">
        <is>
          <t>VARCHAR2(64)</t>
        </is>
      </c>
      <c r="F38" s="17" t="inlineStr">
        <is>
          <t>권장</t>
        </is>
      </c>
      <c r="G38" s="5" t="inlineStr">
        <is>
          <t>근사 중복(MinHash) 묶음 대표</t>
        </is>
      </c>
      <c r="H38" s="5" t="inlineStr">
        <is>
          <t>S01 재송고 · S18 센싱</t>
        </is>
      </c>
      <c r="I38" s="22" t="inlineStr">
        <is>
          <t>EVT_20260915_HBM_MU</t>
        </is>
      </c>
      <c r="J38" s="6" t="inlineStr"/>
      <c r="K38" s="6" t="inlineStr"/>
    </row>
    <row r="39">
      <c r="A39" s="19" t="inlineStr">
        <is>
          <t>소스별</t>
        </is>
      </c>
      <c r="B39" s="17" t="inlineStr">
        <is>
          <t>뉴스</t>
        </is>
      </c>
      <c r="C39" s="21" t="inlineStr">
        <is>
          <t>is_primary</t>
        </is>
      </c>
      <c r="D39" s="5" t="inlineStr">
        <is>
          <t>대표 기사</t>
        </is>
      </c>
      <c r="E39" s="5" t="inlineStr">
        <is>
          <t>CHAR(1)</t>
        </is>
      </c>
      <c r="F39" s="17" t="inlineStr">
        <is>
          <t>권장</t>
        </is>
      </c>
      <c r="G39" s="5" t="inlineStr">
        <is>
          <t>묶음 중 가장 이른 기사</t>
        </is>
      </c>
      <c r="H39" s="5" t="inlineStr">
        <is>
          <t>중복 접기</t>
        </is>
      </c>
      <c r="I39" s="22" t="inlineStr">
        <is>
          <t>Y</t>
        </is>
      </c>
      <c r="J39" s="6" t="inlineStr"/>
      <c r="K39" s="6" t="inlineStr"/>
    </row>
    <row r="40">
      <c r="A40" s="19" t="inlineStr">
        <is>
          <t>소스별</t>
        </is>
      </c>
      <c r="B40" s="17" t="inlineStr">
        <is>
          <t>뉴스</t>
        </is>
      </c>
      <c r="C40" s="21" t="inlineStr">
        <is>
          <t>press_type</t>
        </is>
      </c>
      <c r="D40" s="5" t="inlineStr">
        <is>
          <t>매체 유형</t>
        </is>
      </c>
      <c r="E40" s="5" t="inlineStr">
        <is>
          <t>VARCHAR2(20)</t>
        </is>
      </c>
      <c r="F40" s="17" t="inlineStr">
        <is>
          <t>선택</t>
        </is>
      </c>
      <c r="G40" s="5" t="inlineStr">
        <is>
          <t>종합지 · 산업지 · 통신사</t>
        </is>
      </c>
      <c r="H40" s="5" t="inlineStr">
        <is>
          <t>가중치</t>
        </is>
      </c>
      <c r="I40" s="22" t="inlineStr">
        <is>
          <t>종합지</t>
        </is>
      </c>
      <c r="J40" s="6" t="inlineStr"/>
      <c r="K40" s="6" t="inlineStr"/>
    </row>
    <row r="41">
      <c r="A41" s="19" t="inlineStr">
        <is>
          <t>소스별</t>
        </is>
      </c>
      <c r="B41" s="17" t="inlineStr">
        <is>
          <t>증권사 리포트</t>
        </is>
      </c>
      <c r="C41" s="21" t="inlineStr">
        <is>
          <t>firm_name</t>
        </is>
      </c>
      <c r="D41" s="5" t="inlineStr">
        <is>
          <t>증권사</t>
        </is>
      </c>
      <c r="E41" s="5" t="inlineStr">
        <is>
          <t>VARCHAR2(100)</t>
        </is>
      </c>
      <c r="F41" s="17" t="inlineStr">
        <is>
          <t>필수</t>
        </is>
      </c>
      <c r="G41" s="5" t="inlineStr">
        <is>
          <t>리포트 표지 (= ORG_NAME)</t>
        </is>
      </c>
      <c r="H41" s="5" t="inlineStr">
        <is>
          <t>필터 · 인용</t>
        </is>
      </c>
      <c r="I41" s="22" t="inlineStr">
        <is>
          <t>○○증권</t>
        </is>
      </c>
      <c r="J41" s="6" t="inlineStr"/>
      <c r="K41" s="6" t="inlineStr"/>
    </row>
    <row r="42">
      <c r="A42" s="19" t="inlineStr">
        <is>
          <t>소스별</t>
        </is>
      </c>
      <c r="B42" s="17" t="inlineStr">
        <is>
          <t>증권사 리포트</t>
        </is>
      </c>
      <c r="C42" s="21" t="inlineStr">
        <is>
          <t>analyst</t>
        </is>
      </c>
      <c r="D42" s="5" t="inlineStr">
        <is>
          <t>애널리스트</t>
        </is>
      </c>
      <c r="E42" s="5" t="inlineStr">
        <is>
          <t>VARCHAR2(100)</t>
        </is>
      </c>
      <c r="F42" s="17" t="inlineStr">
        <is>
          <t>권장</t>
        </is>
      </c>
      <c r="G42" s="5" t="inlineStr">
        <is>
          <t>표지 · 말미</t>
        </is>
      </c>
      <c r="H42" s="5" t="inlineStr">
        <is>
          <t>인용</t>
        </is>
      </c>
      <c r="I42" s="22" t="inlineStr">
        <is>
          <t>이분석</t>
        </is>
      </c>
      <c r="J42" s="6" t="inlineStr"/>
      <c r="K42" s="6" t="inlineStr"/>
    </row>
    <row r="43">
      <c r="A43" s="19" t="inlineStr">
        <is>
          <t>소스별</t>
        </is>
      </c>
      <c r="B43" s="17" t="inlineStr">
        <is>
          <t>증권사 리포트</t>
        </is>
      </c>
      <c r="C43" s="21" t="inlineStr">
        <is>
          <t>report_type</t>
        </is>
      </c>
      <c r="D43" s="5" t="inlineStr">
        <is>
          <t>리포트 종류</t>
        </is>
      </c>
      <c r="E43" s="5" t="inlineStr">
        <is>
          <t>VARCHAR2(30)</t>
        </is>
      </c>
      <c r="F43" s="17" t="inlineStr">
        <is>
          <t>권장</t>
        </is>
      </c>
      <c r="G43" s="5" t="inlineStr">
        <is>
          <t>산업 · 기업 · 프리뷰 · 리뷰</t>
        </is>
      </c>
      <c r="H43" s="5" t="inlineStr">
        <is>
          <t>필터</t>
        </is>
      </c>
      <c r="I43" s="22" t="inlineStr">
        <is>
          <t>산업</t>
        </is>
      </c>
      <c r="J43" s="6" t="inlineStr"/>
      <c r="K43" s="6" t="inlineStr"/>
    </row>
    <row r="44">
      <c r="A44" s="19" t="inlineStr">
        <is>
          <t>소스별</t>
        </is>
      </c>
      <c r="B44" s="17" t="inlineStr">
        <is>
          <t>증권사 리포트</t>
        </is>
      </c>
      <c r="C44" s="21" t="inlineStr">
        <is>
          <t>target_stock</t>
        </is>
      </c>
      <c r="D44" s="5" t="inlineStr">
        <is>
          <t>대상 종목 · 산업</t>
        </is>
      </c>
      <c r="E44" s="5" t="inlineStr">
        <is>
          <t>VARCHAR2(200)</t>
        </is>
      </c>
      <c r="F44" s="17" t="inlineStr">
        <is>
          <t>권장</t>
        </is>
      </c>
      <c r="G44" s="5" t="inlineStr">
        <is>
          <t>표지</t>
        </is>
      </c>
      <c r="H44" s="5" t="inlineStr">
        <is>
          <t>필터 · 센싱</t>
        </is>
      </c>
      <c r="I44" s="22" t="inlineStr">
        <is>
          <t>메모리 반도체</t>
        </is>
      </c>
      <c r="J44" s="6" t="inlineStr"/>
      <c r="K44" s="6" t="inlineStr"/>
    </row>
    <row r="45">
      <c r="A45" s="19" t="inlineStr">
        <is>
          <t>소스별</t>
        </is>
      </c>
      <c r="B45" s="17" t="inlineStr">
        <is>
          <t>증권사 리포트</t>
        </is>
      </c>
      <c r="C45" s="21" t="inlineStr">
        <is>
          <t>opinion</t>
        </is>
      </c>
      <c r="D45" s="5" t="inlineStr">
        <is>
          <t>투자의견</t>
        </is>
      </c>
      <c r="E45" s="5" t="inlineStr">
        <is>
          <t>VARCHAR2(20)</t>
        </is>
      </c>
      <c r="F45" s="17" t="inlineStr">
        <is>
          <t>선택</t>
        </is>
      </c>
      <c r="G45" s="5" t="inlineStr">
        <is>
          <t>표지</t>
        </is>
      </c>
      <c r="H45" s="5" t="inlineStr">
        <is>
          <t>센싱(논조)</t>
        </is>
      </c>
      <c r="I45" s="22" t="inlineStr">
        <is>
          <t>BUY</t>
        </is>
      </c>
      <c r="J45" s="6" t="inlineStr"/>
      <c r="K45" s="6" t="inlineStr"/>
    </row>
    <row r="46">
      <c r="A46" s="19" t="inlineStr">
        <is>
          <t>소스별</t>
        </is>
      </c>
      <c r="B46" s="17" t="inlineStr">
        <is>
          <t>증권사 리포트</t>
        </is>
      </c>
      <c r="C46" s="21" t="inlineStr">
        <is>
          <t>target_price</t>
        </is>
      </c>
      <c r="D46" s="5" t="inlineStr">
        <is>
          <t>목표가</t>
        </is>
      </c>
      <c r="E46" s="5" t="inlineStr">
        <is>
          <t>NUMBER</t>
        </is>
      </c>
      <c r="F46" s="17" t="inlineStr">
        <is>
          <t>선택</t>
        </is>
      </c>
      <c r="G46" s="5" t="inlineStr">
        <is>
          <t>표지</t>
        </is>
      </c>
      <c r="H46" s="5" t="inlineStr">
        <is>
          <t>센싱</t>
        </is>
      </c>
      <c r="I46" s="22" t="inlineStr">
        <is>
          <t>260000</t>
        </is>
      </c>
      <c r="J46" s="6" t="inlineStr"/>
      <c r="K46" s="6" t="inlineStr"/>
    </row>
    <row r="47">
      <c r="A47" s="19" t="inlineStr">
        <is>
          <t>소스별</t>
        </is>
      </c>
      <c r="B47" s="17" t="inlineStr">
        <is>
          <t>증권사 리포트</t>
        </is>
      </c>
      <c r="C47" s="21" t="inlineStr">
        <is>
          <t>period_covered</t>
        </is>
      </c>
      <c r="D47" s="5" t="inlineStr">
        <is>
          <t>대상 기간</t>
        </is>
      </c>
      <c r="E47" s="5" t="inlineStr">
        <is>
          <t>VARCHAR2(20)</t>
        </is>
      </c>
      <c r="F47" s="17" t="inlineStr">
        <is>
          <t>권장</t>
        </is>
      </c>
      <c r="G47" s="5" t="inlineStr">
        <is>
          <t>제목 · 본문</t>
        </is>
      </c>
      <c r="H47" s="5" t="inlineStr">
        <is>
          <t>S08 기간 필터</t>
        </is>
      </c>
      <c r="I47" s="22" t="inlineStr">
        <is>
          <t>3Q26</t>
        </is>
      </c>
      <c r="J47" s="6" t="inlineStr"/>
      <c r="K47" s="6" t="inlineStr"/>
    </row>
    <row r="48">
      <c r="A48" s="19" t="inlineStr">
        <is>
          <t>소스별</t>
        </is>
      </c>
      <c r="B48" s="17" t="inlineStr">
        <is>
          <t>증권사 리포트</t>
        </is>
      </c>
      <c r="C48" s="21" t="inlineStr">
        <is>
          <t>has_table</t>
        </is>
      </c>
      <c r="D48" s="5" t="inlineStr">
        <is>
          <t>표 포함</t>
        </is>
      </c>
      <c r="E48" s="5" t="inlineStr">
        <is>
          <t>CHAR(1)</t>
        </is>
      </c>
      <c r="F48" s="17" t="inlineStr">
        <is>
          <t>권장</t>
        </is>
      </c>
      <c r="G48" s="5" t="inlineStr">
        <is>
          <t>파싱 결과</t>
        </is>
      </c>
      <c r="H48" s="5" t="inlineStr">
        <is>
          <t>S03 표 청크 분리</t>
        </is>
      </c>
      <c r="I48" s="22" t="inlineStr">
        <is>
          <t>Y</t>
        </is>
      </c>
      <c r="J48" s="6" t="inlineStr"/>
      <c r="K48" s="6" t="inlineStr"/>
    </row>
    <row r="49">
      <c r="A49" s="19" t="inlineStr">
        <is>
          <t>소스별</t>
        </is>
      </c>
      <c r="B49" s="17" t="inlineStr">
        <is>
          <t>기관 보고서</t>
        </is>
      </c>
      <c r="C49" s="21" t="inlineStr">
        <is>
          <t>institution_name</t>
        </is>
      </c>
      <c r="D49" s="5" t="inlineStr">
        <is>
          <t>기관명</t>
        </is>
      </c>
      <c r="E49" s="5" t="inlineStr">
        <is>
          <t>VARCHAR2(100)</t>
        </is>
      </c>
      <c r="F49" s="17" t="inlineStr">
        <is>
          <t>필수</t>
        </is>
      </c>
      <c r="G49" s="5" t="inlineStr">
        <is>
          <t>표지 (= ORG_NAME)</t>
        </is>
      </c>
      <c r="H49" s="5" t="inlineStr">
        <is>
          <t>필터 · 인용</t>
        </is>
      </c>
      <c r="I49" s="22" t="inlineStr">
        <is>
          <t>○○리서치</t>
        </is>
      </c>
      <c r="J49" s="6" t="inlineStr"/>
      <c r="K49" s="6" t="inlineStr"/>
    </row>
    <row r="50">
      <c r="A50" s="19" t="inlineStr">
        <is>
          <t>소스별</t>
        </is>
      </c>
      <c r="B50" s="17" t="inlineStr">
        <is>
          <t>기관 보고서</t>
        </is>
      </c>
      <c r="C50" s="21" t="inlineStr">
        <is>
          <t>research_type</t>
        </is>
      </c>
      <c r="D50" s="5" t="inlineStr">
        <is>
          <t>자료 유형</t>
        </is>
      </c>
      <c r="E50" s="5" t="inlineStr">
        <is>
          <t>VARCHAR2(30)</t>
        </is>
      </c>
      <c r="F50" s="17" t="inlineStr">
        <is>
          <t>권장</t>
        </is>
      </c>
      <c r="G50" s="5" t="inlineStr">
        <is>
          <t>시장전망 · 통계 · 백서</t>
        </is>
      </c>
      <c r="H50" s="5" t="inlineStr">
        <is>
          <t>필터</t>
        </is>
      </c>
      <c r="I50" s="22" t="inlineStr">
        <is>
          <t>시장전망</t>
        </is>
      </c>
      <c r="J50" s="6" t="inlineStr"/>
      <c r="K50" s="6" t="inlineStr"/>
    </row>
    <row r="51">
      <c r="A51" s="19" t="inlineStr">
        <is>
          <t>소스별</t>
        </is>
      </c>
      <c r="B51" s="17" t="inlineStr">
        <is>
          <t>기관 보고서</t>
        </is>
      </c>
      <c r="C51" s="21" t="inlineStr">
        <is>
          <t>data_asof</t>
        </is>
      </c>
      <c r="D51" s="5" t="inlineStr">
        <is>
          <t>데이터 기준 시점</t>
        </is>
      </c>
      <c r="E51" s="5" t="inlineStr">
        <is>
          <t>VARCHAR2(20)</t>
        </is>
      </c>
      <c r="F51" s="17" t="inlineStr">
        <is>
          <t>필수</t>
        </is>
      </c>
      <c r="G51" s="5" t="inlineStr">
        <is>
          <t>본문 "as of" · 표 머리말</t>
        </is>
      </c>
      <c r="H51" s="5" t="inlineStr">
        <is>
          <t>S08 기간 · S27 정합성</t>
        </is>
      </c>
      <c r="I51" s="22" t="inlineStr">
        <is>
          <t>2Q26</t>
        </is>
      </c>
      <c r="J51" s="6" t="inlineStr"/>
      <c r="K51" s="6" t="inlineStr"/>
    </row>
    <row r="52">
      <c r="A52" s="19" t="inlineStr">
        <is>
          <t>소스별</t>
        </is>
      </c>
      <c r="B52" s="17" t="inlineStr">
        <is>
          <t>기관 보고서</t>
        </is>
      </c>
      <c r="C52" s="21" t="inlineStr">
        <is>
          <t>license_scope</t>
        </is>
      </c>
      <c r="D52" s="5" t="inlineStr">
        <is>
          <t>라이선스 범위</t>
        </is>
      </c>
      <c r="E52" s="5" t="inlineStr">
        <is>
          <t>VARCHAR2(50)</t>
        </is>
      </c>
      <c r="F52" s="17" t="inlineStr">
        <is>
          <t>권장</t>
        </is>
      </c>
      <c r="G52" s="5" t="inlineStr">
        <is>
          <t>계약 정보</t>
        </is>
      </c>
      <c r="H52" s="5" t="inlineStr">
        <is>
          <t>S28 권한</t>
        </is>
      </c>
      <c r="I52" s="22" t="inlineStr">
        <is>
          <t>사내 열람</t>
        </is>
      </c>
      <c r="J52" s="6" t="inlineStr"/>
      <c r="K52" s="6" t="inlineStr"/>
    </row>
    <row r="53">
      <c r="A53" s="19" t="inlineStr">
        <is>
          <t>소스별</t>
        </is>
      </c>
      <c r="B53" s="17" t="inlineStr">
        <is>
          <t>기관 보고서</t>
        </is>
      </c>
      <c r="C53" s="21" t="inlineStr">
        <is>
          <t>region_scope</t>
        </is>
      </c>
      <c r="D53" s="5" t="inlineStr">
        <is>
          <t>지역 범위</t>
        </is>
      </c>
      <c r="E53" s="5" t="inlineStr">
        <is>
          <t>VARCHAR2(50)</t>
        </is>
      </c>
      <c r="F53" s="17" t="inlineStr">
        <is>
          <t>선택</t>
        </is>
      </c>
      <c r="G53" s="5" t="inlineStr">
        <is>
          <t>표지 · 목차</t>
        </is>
      </c>
      <c r="H53" s="5" t="inlineStr">
        <is>
          <t>필터</t>
        </is>
      </c>
      <c r="I53" s="22" t="inlineStr">
        <is>
          <t>Global</t>
        </is>
      </c>
      <c r="J53" s="6" t="inlineStr"/>
      <c r="K53" s="6" t="inlineStr"/>
    </row>
    <row r="54">
      <c r="A54" s="19" t="inlineStr">
        <is>
          <t>소스별</t>
        </is>
      </c>
      <c r="B54" s="17" t="inlineStr">
        <is>
          <t>기관 보고서</t>
        </is>
      </c>
      <c r="C54" s="21" t="inlineStr">
        <is>
          <t>keywords</t>
        </is>
      </c>
      <c r="D54" s="5" t="inlineStr">
        <is>
          <t>키워드</t>
        </is>
      </c>
      <c r="E54" s="5" t="inlineStr">
        <is>
          <t>VARCHAR2(500)</t>
        </is>
      </c>
      <c r="F54" s="17" t="inlineStr">
        <is>
          <t>선택</t>
        </is>
      </c>
      <c r="G54" s="5" t="inlineStr">
        <is>
          <t>표지 · 목차</t>
        </is>
      </c>
      <c r="H54" s="5" t="inlineStr">
        <is>
          <t>센싱 태그</t>
        </is>
      </c>
      <c r="I54" s="22" t="inlineStr">
        <is>
          <t>HBM;DRAM;CapEx</t>
        </is>
      </c>
      <c r="J54" s="6" t="inlineStr"/>
      <c r="K54" s="6" t="inlineStr"/>
    </row>
    <row r="55">
      <c r="A55" s="19" t="inlineStr">
        <is>
          <t>소스별</t>
        </is>
      </c>
      <c r="B55" s="17" t="inlineStr">
        <is>
          <t>메일</t>
        </is>
      </c>
      <c r="C55" s="21" t="inlineStr">
        <is>
          <t>message_id</t>
        </is>
      </c>
      <c r="D55" s="5" t="inlineStr">
        <is>
          <t>Message-ID</t>
        </is>
      </c>
      <c r="E55" s="5" t="inlineStr">
        <is>
          <t>VARCHAR2(200)</t>
        </is>
      </c>
      <c r="F55" s="17" t="inlineStr">
        <is>
          <t>필수</t>
        </is>
      </c>
      <c r="G55" s="5" t="inlineStr">
        <is>
          <t>메일 헤더 (= SRC_KEY)</t>
        </is>
      </c>
      <c r="H55" s="5" t="inlineStr">
        <is>
          <t>중복 · 스레드</t>
        </is>
      </c>
      <c r="I55" s="22" t="inlineStr">
        <is>
          <t>&lt;a1b2@mail&gt;</t>
        </is>
      </c>
      <c r="J55" s="6" t="inlineStr"/>
      <c r="K55" s="6" t="inlineStr"/>
    </row>
    <row r="56">
      <c r="A56" s="19" t="inlineStr">
        <is>
          <t>소스별</t>
        </is>
      </c>
      <c r="B56" s="17" t="inlineStr">
        <is>
          <t>메일</t>
        </is>
      </c>
      <c r="C56" s="21" t="inlineStr">
        <is>
          <t>thread_id</t>
        </is>
      </c>
      <c r="D56" s="5" t="inlineStr">
        <is>
          <t>스레드 ID</t>
        </is>
      </c>
      <c r="E56" s="5" t="inlineStr">
        <is>
          <t>VARCHAR2(100)</t>
        </is>
      </c>
      <c r="F56" s="17" t="inlineStr">
        <is>
          <t>필수</t>
        </is>
      </c>
      <c r="G56" s="5" t="inlineStr">
        <is>
          <t>In-Reply-To 추적</t>
        </is>
      </c>
      <c r="H56" s="5" t="inlineStr">
        <is>
          <t>S03 스레드 청킹</t>
        </is>
      </c>
      <c r="I56" s="22" t="inlineStr">
        <is>
          <t>TH_9901</t>
        </is>
      </c>
      <c r="J56" s="6" t="inlineStr"/>
      <c r="K56" s="6" t="inlineStr"/>
    </row>
    <row r="57">
      <c r="A57" s="19" t="inlineStr">
        <is>
          <t>소스별</t>
        </is>
      </c>
      <c r="B57" s="17" t="inlineStr">
        <is>
          <t>메일</t>
        </is>
      </c>
      <c r="C57" s="21" t="inlineStr">
        <is>
          <t>sender</t>
        </is>
      </c>
      <c r="D57" s="5" t="inlineStr">
        <is>
          <t>발신자</t>
        </is>
      </c>
      <c r="E57" s="5" t="inlineStr">
        <is>
          <t>VARCHAR2(200)</t>
        </is>
      </c>
      <c r="F57" s="17" t="inlineStr">
        <is>
          <t>필수</t>
        </is>
      </c>
      <c r="G57" s="5" t="inlineStr">
        <is>
          <t>메일 헤더</t>
        </is>
      </c>
      <c r="H57" s="5" t="inlineStr">
        <is>
          <t>S28 ACL · 인용</t>
        </is>
      </c>
      <c r="I57" s="22" t="inlineStr">
        <is>
          <t>lead@company.example</t>
        </is>
      </c>
      <c r="J57" s="6" t="inlineStr"/>
      <c r="K57" s="6" t="inlineStr"/>
    </row>
    <row r="58">
      <c r="A58" s="19" t="inlineStr">
        <is>
          <t>소스별</t>
        </is>
      </c>
      <c r="B58" s="17" t="inlineStr">
        <is>
          <t>메일</t>
        </is>
      </c>
      <c r="C58" s="21" t="inlineStr">
        <is>
          <t>recipients</t>
        </is>
      </c>
      <c r="D58" s="5" t="inlineStr">
        <is>
          <t>수신자 목록</t>
        </is>
      </c>
      <c r="E58" s="5" t="inlineStr">
        <is>
          <t>CLOB(JSON)</t>
        </is>
      </c>
      <c r="F58" s="17" t="inlineStr">
        <is>
          <t>필수</t>
        </is>
      </c>
      <c r="G58" s="5" t="inlineStr">
        <is>
          <t>To + Cc</t>
        </is>
      </c>
      <c r="H58" s="5" t="inlineStr">
        <is>
          <t>S28 ACL(행 권한)</t>
        </is>
      </c>
      <c r="I58" s="22" t="inlineStr">
        <is>
          <t>["pm@…","cto@…"]</t>
        </is>
      </c>
      <c r="J58" s="6" t="inlineStr"/>
      <c r="K58" s="6" t="inlineStr"/>
    </row>
    <row r="59">
      <c r="A59" s="19" t="inlineStr">
        <is>
          <t>소스별</t>
        </is>
      </c>
      <c r="B59" s="17" t="inlineStr">
        <is>
          <t>메일</t>
        </is>
      </c>
      <c r="C59" s="21" t="inlineStr">
        <is>
          <t>sender_dept</t>
        </is>
      </c>
      <c r="D59" s="5" t="inlineStr">
        <is>
          <t>발신 부서</t>
        </is>
      </c>
      <c r="E59" s="5" t="inlineStr">
        <is>
          <t>VARCHAR2(100)</t>
        </is>
      </c>
      <c r="F59" s="17" t="inlineStr">
        <is>
          <t>권장</t>
        </is>
      </c>
      <c r="G59" s="5" t="inlineStr">
        <is>
          <t>조직도 매핑</t>
        </is>
      </c>
      <c r="H59" s="5" t="inlineStr">
        <is>
          <t>필터 · 권한</t>
        </is>
      </c>
      <c r="I59" s="22" t="inlineStr">
        <is>
          <t>영업전략팀</t>
        </is>
      </c>
      <c r="J59" s="6" t="inlineStr"/>
      <c r="K59" s="6" t="inlineStr"/>
    </row>
    <row r="60">
      <c r="A60" s="19" t="inlineStr">
        <is>
          <t>소스별</t>
        </is>
      </c>
      <c r="B60" s="17" t="inlineStr">
        <is>
          <t>메일</t>
        </is>
      </c>
      <c r="C60" s="21" t="inlineStr">
        <is>
          <t>has_attachment</t>
        </is>
      </c>
      <c r="D60" s="5" t="inlineStr">
        <is>
          <t>첨부 유무</t>
        </is>
      </c>
      <c r="E60" s="5" t="inlineStr">
        <is>
          <t>CHAR(1)</t>
        </is>
      </c>
      <c r="F60" s="17" t="inlineStr">
        <is>
          <t>필수</t>
        </is>
      </c>
      <c r="G60" s="5" t="inlineStr">
        <is>
          <t>메일 파싱</t>
        </is>
      </c>
      <c r="H60" s="5" t="inlineStr">
        <is>
          <t>첨부 분리 처리</t>
        </is>
      </c>
      <c r="I60" s="22" t="inlineStr">
        <is>
          <t>Y</t>
        </is>
      </c>
      <c r="J60" s="6" t="inlineStr"/>
      <c r="K60" s="6" t="inlineStr"/>
    </row>
    <row r="61">
      <c r="A61" s="19" t="inlineStr">
        <is>
          <t>소스별</t>
        </is>
      </c>
      <c r="B61" s="17" t="inlineStr">
        <is>
          <t>메일</t>
        </is>
      </c>
      <c r="C61" s="21" t="inlineStr">
        <is>
          <t>attach_doc_ids</t>
        </is>
      </c>
      <c r="D61" s="5" t="inlineStr">
        <is>
          <t>첨부 문서 ID</t>
        </is>
      </c>
      <c r="E61" s="5" t="inlineStr">
        <is>
          <t>CLOB(JSON)</t>
        </is>
      </c>
      <c r="F61" s="17" t="inlineStr">
        <is>
          <t>권장</t>
        </is>
      </c>
      <c r="G61" s="5" t="inlineStr">
        <is>
          <t>첨부를 별도 문서로 적재</t>
        </is>
      </c>
      <c r="H61" s="5" t="inlineStr">
        <is>
          <t>처리흐름(첨부 분기)</t>
        </is>
      </c>
      <c r="I61" s="22" t="inlineStr">
        <is>
          <t>["RPT_20260910_0007"]</t>
        </is>
      </c>
      <c r="J61" s="6" t="inlineStr"/>
      <c r="K61" s="6" t="inlineStr"/>
    </row>
    <row r="62">
      <c r="A62" s="19" t="inlineStr">
        <is>
          <t>소스별</t>
        </is>
      </c>
      <c r="B62" s="17" t="inlineStr">
        <is>
          <t>메일</t>
        </is>
      </c>
      <c r="C62" s="21" t="inlineStr">
        <is>
          <t>quote_removed</t>
        </is>
      </c>
      <c r="D62" s="5" t="inlineStr">
        <is>
          <t>인용 제거 여부</t>
        </is>
      </c>
      <c r="E62" s="5" t="inlineStr">
        <is>
          <t>CHAR(1)</t>
        </is>
      </c>
      <c r="F62" s="17" t="inlineStr">
        <is>
          <t>권장</t>
        </is>
      </c>
      <c r="G62" s="5" t="inlineStr">
        <is>
          <t>정제 단계 기록</t>
        </is>
      </c>
      <c r="H62" s="5" t="inlineStr">
        <is>
          <t>S02 품질 점검</t>
        </is>
      </c>
      <c r="I62" s="22" t="inlineStr">
        <is>
          <t>Y</t>
        </is>
      </c>
      <c r="J62" s="6" t="inlineStr"/>
      <c r="K62" s="6" t="inlineStr"/>
    </row>
    <row r="63">
      <c r="A63" s="19" t="inlineStr">
        <is>
          <t>소스별</t>
        </is>
      </c>
      <c r="B63" s="17" t="inlineStr">
        <is>
          <t>회의록</t>
        </is>
      </c>
      <c r="C63" s="21" t="inlineStr">
        <is>
          <t>meeting_date</t>
        </is>
      </c>
      <c r="D63" s="5" t="inlineStr">
        <is>
          <t>회의일</t>
        </is>
      </c>
      <c r="E63" s="5" t="inlineStr">
        <is>
          <t>DATE</t>
        </is>
      </c>
      <c r="F63" s="17" t="inlineStr">
        <is>
          <t>필수</t>
        </is>
      </c>
      <c r="G63" s="5" t="inlineStr">
        <is>
          <t>양식 (= PUBLISHED_AT)</t>
        </is>
      </c>
      <c r="H63" s="5" t="inlineStr">
        <is>
          <t>기간 필터</t>
        </is>
      </c>
      <c r="I63" s="22" t="inlineStr">
        <is>
          <t>2026-09-17</t>
        </is>
      </c>
      <c r="J63" s="6" t="inlineStr"/>
      <c r="K63" s="6" t="inlineStr"/>
    </row>
    <row r="64">
      <c r="A64" s="19" t="inlineStr">
        <is>
          <t>소스별</t>
        </is>
      </c>
      <c r="B64" s="17" t="inlineStr">
        <is>
          <t>회의록</t>
        </is>
      </c>
      <c r="C64" s="21" t="inlineStr">
        <is>
          <t>department</t>
        </is>
      </c>
      <c r="D64" s="5" t="inlineStr">
        <is>
          <t>주관 부서</t>
        </is>
      </c>
      <c r="E64" s="5" t="inlineStr">
        <is>
          <t>VARCHAR2(100)</t>
        </is>
      </c>
      <c r="F64" s="17" t="inlineStr">
        <is>
          <t>필수</t>
        </is>
      </c>
      <c r="G64" s="5" t="inlineStr">
        <is>
          <t>양식</t>
        </is>
      </c>
      <c r="H64" s="5" t="inlineStr">
        <is>
          <t>권한 · 필터</t>
        </is>
      </c>
      <c r="I64" s="22" t="inlineStr">
        <is>
          <t>시장분석팀</t>
        </is>
      </c>
      <c r="J64" s="6" t="inlineStr"/>
      <c r="K64" s="6" t="inlineStr"/>
    </row>
    <row r="65">
      <c r="A65" s="19" t="inlineStr">
        <is>
          <t>소스별</t>
        </is>
      </c>
      <c r="B65" s="17" t="inlineStr">
        <is>
          <t>회의록</t>
        </is>
      </c>
      <c r="C65" s="21" t="inlineStr">
        <is>
          <t>attendees</t>
        </is>
      </c>
      <c r="D65" s="5" t="inlineStr">
        <is>
          <t>참석자</t>
        </is>
      </c>
      <c r="E65" s="5" t="inlineStr">
        <is>
          <t>CLOB(JSON)</t>
        </is>
      </c>
      <c r="F65" s="17" t="inlineStr">
        <is>
          <t>필수</t>
        </is>
      </c>
      <c r="G65" s="5" t="inlineStr">
        <is>
          <t>양식</t>
        </is>
      </c>
      <c r="H65" s="5" t="inlineStr">
        <is>
          <t>S28 ACL · 인용</t>
        </is>
      </c>
      <c r="I65" s="22" t="inlineStr">
        <is>
          <t>["박기록","최분석"]</t>
        </is>
      </c>
      <c r="J65" s="6" t="inlineStr"/>
      <c r="K65" s="6" t="inlineStr"/>
    </row>
    <row r="66">
      <c r="A66" s="19" t="inlineStr">
        <is>
          <t>소스별</t>
        </is>
      </c>
      <c r="B66" s="17" t="inlineStr">
        <is>
          <t>회의록</t>
        </is>
      </c>
      <c r="C66" s="21" t="inlineStr">
        <is>
          <t>project_code</t>
        </is>
      </c>
      <c r="D66" s="5" t="inlineStr">
        <is>
          <t>과제 코드</t>
        </is>
      </c>
      <c r="E66" s="5" t="inlineStr">
        <is>
          <t>VARCHAR2(50)</t>
        </is>
      </c>
      <c r="F66" s="17" t="inlineStr">
        <is>
          <t>권장</t>
        </is>
      </c>
      <c r="G66" s="5" t="inlineStr">
        <is>
          <t>양식</t>
        </is>
      </c>
      <c r="H66" s="5" t="inlineStr">
        <is>
          <t>필터 · 권한</t>
        </is>
      </c>
      <c r="I66" s="22" t="inlineStr">
        <is>
          <t>PRJ-MIS-2026</t>
        </is>
      </c>
      <c r="J66" s="6" t="inlineStr"/>
      <c r="K66" s="6" t="inlineStr"/>
    </row>
    <row r="67">
      <c r="A67" s="19" t="inlineStr">
        <is>
          <t>소스별</t>
        </is>
      </c>
      <c r="B67" s="17" t="inlineStr">
        <is>
          <t>회의록</t>
        </is>
      </c>
      <c r="C67" s="21" t="inlineStr">
        <is>
          <t>agenda_no</t>
        </is>
      </c>
      <c r="D67" s="5" t="inlineStr">
        <is>
          <t>안건 번호</t>
        </is>
      </c>
      <c r="E67" s="5" t="inlineStr">
        <is>
          <t>NUMBER(3)</t>
        </is>
      </c>
      <c r="F67" s="17" t="inlineStr">
        <is>
          <t>권장</t>
        </is>
      </c>
      <c r="G67" s="5" t="inlineStr">
        <is>
          <t>분할 시 부여</t>
        </is>
      </c>
      <c r="H67" s="5" t="inlineStr">
        <is>
          <t>S03 안건 단위 청킹</t>
        </is>
      </c>
      <c r="I67" s="22" t="inlineStr">
        <is>
          <t>2</t>
        </is>
      </c>
      <c r="J67" s="6" t="inlineStr"/>
      <c r="K67" s="6" t="inlineStr"/>
    </row>
    <row r="68">
      <c r="A68" s="19" t="inlineStr">
        <is>
          <t>소스별</t>
        </is>
      </c>
      <c r="B68" s="17" t="inlineStr">
        <is>
          <t>회의록</t>
        </is>
      </c>
      <c r="C68" s="21" t="inlineStr">
        <is>
          <t>decisions</t>
        </is>
      </c>
      <c r="D68" s="5" t="inlineStr">
        <is>
          <t>결정 사항</t>
        </is>
      </c>
      <c r="E68" s="5" t="inlineStr">
        <is>
          <t>CLOB(JSON)</t>
        </is>
      </c>
      <c r="F68" s="17" t="inlineStr">
        <is>
          <t>권장</t>
        </is>
      </c>
      <c r="G68" s="5" t="inlineStr">
        <is>
          <t>본문 추출</t>
        </is>
      </c>
      <c r="H68" s="5" t="inlineStr">
        <is>
          <t>질문 응답(무엇을 정했나)</t>
        </is>
      </c>
      <c r="I68" s="22" t="inlineStr">
        <is>
          <t>["4Q 전망 유지"]</t>
        </is>
      </c>
      <c r="J68" s="6" t="inlineStr"/>
      <c r="K68" s="6" t="inlineStr"/>
    </row>
    <row r="69">
      <c r="A69" s="19" t="inlineStr">
        <is>
          <t>소스별</t>
        </is>
      </c>
      <c r="B69" s="17" t="inlineStr">
        <is>
          <t>회의록</t>
        </is>
      </c>
      <c r="C69" s="21" t="inlineStr">
        <is>
          <t>action_items</t>
        </is>
      </c>
      <c r="D69" s="5" t="inlineStr">
        <is>
          <t>액션 아이템</t>
        </is>
      </c>
      <c r="E69" s="5" t="inlineStr">
        <is>
          <t>CLOB(JSON)</t>
        </is>
      </c>
      <c r="F69" s="17" t="inlineStr">
        <is>
          <t>권장</t>
        </is>
      </c>
      <c r="G69" s="5" t="inlineStr">
        <is>
          <t>본문 추출 (담당 · 기한)</t>
        </is>
      </c>
      <c r="H69" s="5" t="inlineStr">
        <is>
          <t>질문 응답 · 추적</t>
        </is>
      </c>
      <c r="I69" s="22" t="inlineStr">
        <is>
          <t>[{"task":"발주 재확인","owner":"박기록","due":"2026-09-24"}]</t>
        </is>
      </c>
      <c r="J69" s="6" t="inlineStr"/>
      <c r="K69" s="6" t="inlineStr"/>
    </row>
    <row r="70">
      <c r="A70" s="19" t="inlineStr">
        <is>
          <t>소스별</t>
        </is>
      </c>
      <c r="B70" s="17" t="inlineStr">
        <is>
          <t>사내 보고서</t>
        </is>
      </c>
      <c r="C70" s="21" t="inlineStr">
        <is>
          <t>department</t>
        </is>
      </c>
      <c r="D70" s="5" t="inlineStr">
        <is>
          <t>작성 부서</t>
        </is>
      </c>
      <c r="E70" s="5" t="inlineStr">
        <is>
          <t>VARCHAR2(100)</t>
        </is>
      </c>
      <c r="F70" s="17" t="inlineStr">
        <is>
          <t>필수</t>
        </is>
      </c>
      <c r="G70" s="5" t="inlineStr">
        <is>
          <t>문서 속성 · 결재 정보</t>
        </is>
      </c>
      <c r="H70" s="5" t="inlineStr">
        <is>
          <t>권한 · 필터</t>
        </is>
      </c>
      <c r="I70" s="22" t="inlineStr">
        <is>
          <t>시장분석팀</t>
        </is>
      </c>
      <c r="J70" s="6" t="inlineStr"/>
      <c r="K70" s="6" t="inlineStr"/>
    </row>
    <row r="71">
      <c r="A71" s="19" t="inlineStr">
        <is>
          <t>소스별</t>
        </is>
      </c>
      <c r="B71" s="17" t="inlineStr">
        <is>
          <t>사내 보고서</t>
        </is>
      </c>
      <c r="C71" s="21" t="inlineStr">
        <is>
          <t>version</t>
        </is>
      </c>
      <c r="D71" s="5" t="inlineStr">
        <is>
          <t>버전</t>
        </is>
      </c>
      <c r="E71" s="5" t="inlineStr">
        <is>
          <t>VARCHAR2(20)</t>
        </is>
      </c>
      <c r="F71" s="17" t="inlineStr">
        <is>
          <t>필수</t>
        </is>
      </c>
      <c r="G71" s="5" t="inlineStr">
        <is>
          <t>파일명 · 표지</t>
        </is>
      </c>
      <c r="H71" s="5" t="inlineStr">
        <is>
          <t>S01 최종본 판정</t>
        </is>
      </c>
      <c r="I71" s="22" t="inlineStr">
        <is>
          <t>v1.0</t>
        </is>
      </c>
      <c r="J71" s="6" t="inlineStr"/>
      <c r="K71" s="6" t="inlineStr"/>
    </row>
    <row r="72">
      <c r="A72" s="19" t="inlineStr">
        <is>
          <t>소스별</t>
        </is>
      </c>
      <c r="B72" s="17" t="inlineStr">
        <is>
          <t>사내 보고서</t>
        </is>
      </c>
      <c r="C72" s="21" t="inlineStr">
        <is>
          <t>approval_status</t>
        </is>
      </c>
      <c r="D72" s="5" t="inlineStr">
        <is>
          <t>결재 상태</t>
        </is>
      </c>
      <c r="E72" s="5" t="inlineStr">
        <is>
          <t>VARCHAR2(20)</t>
        </is>
      </c>
      <c r="F72" s="17" t="inlineStr">
        <is>
          <t>필수</t>
        </is>
      </c>
      <c r="G72" s="5" t="inlineStr">
        <is>
          <t>그룹웨어</t>
        </is>
      </c>
      <c r="H72" s="5" t="inlineStr">
        <is>
          <t>최종본만 적재</t>
        </is>
      </c>
      <c r="I72" s="22" t="inlineStr">
        <is>
          <t>APPROVED</t>
        </is>
      </c>
      <c r="J72" s="6" t="inlineStr"/>
      <c r="K72" s="6" t="inlineStr"/>
    </row>
    <row r="73">
      <c r="A73" s="19" t="inlineStr">
        <is>
          <t>소스별</t>
        </is>
      </c>
      <c r="B73" s="17" t="inlineStr">
        <is>
          <t>사내 보고서</t>
        </is>
      </c>
      <c r="C73" s="21" t="inlineStr">
        <is>
          <t>report_kind</t>
        </is>
      </c>
      <c r="D73" s="5" t="inlineStr">
        <is>
          <t>보고서 종류</t>
        </is>
      </c>
      <c r="E73" s="5" t="inlineStr">
        <is>
          <t>VARCHAR2(30)</t>
        </is>
      </c>
      <c r="F73" s="17" t="inlineStr">
        <is>
          <t>권장</t>
        </is>
      </c>
      <c r="G73" s="5" t="inlineStr">
        <is>
          <t>표지</t>
        </is>
      </c>
      <c r="H73" s="5" t="inlineStr">
        <is>
          <t>필터</t>
        </is>
      </c>
      <c r="I73" s="22" t="inlineStr">
        <is>
          <t>시장동향</t>
        </is>
      </c>
      <c r="J73" s="6" t="inlineStr"/>
      <c r="K73" s="6" t="inlineStr"/>
    </row>
    <row r="74">
      <c r="A74" s="19" t="inlineStr">
        <is>
          <t>소스별</t>
        </is>
      </c>
      <c r="B74" s="17" t="inlineStr">
        <is>
          <t>사내 보고서</t>
        </is>
      </c>
      <c r="C74" s="21" t="inlineStr">
        <is>
          <t>period_covered</t>
        </is>
      </c>
      <c r="D74" s="5" t="inlineStr">
        <is>
          <t>대상 기간</t>
        </is>
      </c>
      <c r="E74" s="5" t="inlineStr">
        <is>
          <t>VARCHAR2(20)</t>
        </is>
      </c>
      <c r="F74" s="17" t="inlineStr">
        <is>
          <t>권장</t>
        </is>
      </c>
      <c r="G74" s="5" t="inlineStr">
        <is>
          <t>제목 · 본문</t>
        </is>
      </c>
      <c r="H74" s="5" t="inlineStr">
        <is>
          <t>기간 필터</t>
        </is>
      </c>
      <c r="I74" s="22" t="inlineStr">
        <is>
          <t>3Q26</t>
        </is>
      </c>
      <c r="J74" s="6" t="inlineStr"/>
      <c r="K74" s="6" t="inlineStr"/>
    </row>
    <row r="75">
      <c r="A75" s="19" t="inlineStr">
        <is>
          <t>소스별</t>
        </is>
      </c>
      <c r="B75" s="17" t="inlineStr">
        <is>
          <t>사내 보고서</t>
        </is>
      </c>
      <c r="C75" s="21" t="inlineStr">
        <is>
          <t>file_format</t>
        </is>
      </c>
      <c r="D75" s="5" t="inlineStr">
        <is>
          <t>원본 형식</t>
        </is>
      </c>
      <c r="E75" s="5" t="inlineStr">
        <is>
          <t>VARCHAR2(10)</t>
        </is>
      </c>
      <c r="F75" s="17" t="inlineStr">
        <is>
          <t>권장</t>
        </is>
      </c>
      <c r="G75" s="5" t="inlineStr">
        <is>
          <t>파일 확장자</t>
        </is>
      </c>
      <c r="H75" s="5" t="inlineStr">
        <is>
          <t>S02 파서 분기</t>
        </is>
      </c>
      <c r="I75" s="22" t="inlineStr">
        <is>
          <t>PPTX</t>
        </is>
      </c>
      <c r="J75" s="6" t="inlineStr"/>
      <c r="K75" s="6" t="inlineStr"/>
    </row>
    <row r="76">
      <c r="A76" s="19" t="inlineStr">
        <is>
          <t>소스별</t>
        </is>
      </c>
      <c r="B76" s="17" t="inlineStr">
        <is>
          <t>사내 보고서</t>
        </is>
      </c>
      <c r="C76" s="21" t="inlineStr">
        <is>
          <t>slide_no</t>
        </is>
      </c>
      <c r="D76" s="5" t="inlineStr">
        <is>
          <t>슬라이드 번호</t>
        </is>
      </c>
      <c r="E76" s="5" t="inlineStr">
        <is>
          <t>NUMBER(4)</t>
        </is>
      </c>
      <c r="F76" s="17" t="inlineStr">
        <is>
          <t>권장</t>
        </is>
      </c>
      <c r="G76" s="5" t="inlineStr">
        <is>
          <t>청크 생성 시</t>
        </is>
      </c>
      <c r="H76" s="5" t="inlineStr">
        <is>
          <t>인용 위치</t>
        </is>
      </c>
      <c r="I76" s="22" t="inlineStr">
        <is>
          <t>7</t>
        </is>
      </c>
      <c r="J76" s="6" t="inlineStr"/>
      <c r="K76" s="6" t="inlineStr"/>
    </row>
    <row r="77">
      <c r="A77" s="19" t="inlineStr">
        <is>
          <t>소스별</t>
        </is>
      </c>
      <c r="B77" s="17" t="inlineStr">
        <is>
          <t>지식문서</t>
        </is>
      </c>
      <c r="C77" s="21" t="inlineStr">
        <is>
          <t>category</t>
        </is>
      </c>
      <c r="D77" s="5" t="inlineStr">
        <is>
          <t>분류</t>
        </is>
      </c>
      <c r="E77" s="5" t="inlineStr">
        <is>
          <t>VARCHAR2(100)</t>
        </is>
      </c>
      <c r="F77" s="17" t="inlineStr">
        <is>
          <t>필수</t>
        </is>
      </c>
      <c r="G77" s="5" t="inlineStr">
        <is>
          <t>KMS 분류 체계</t>
        </is>
      </c>
      <c r="H77" s="5" t="inlineStr">
        <is>
          <t>필터</t>
        </is>
      </c>
      <c r="I77" s="22" t="inlineStr">
        <is>
          <t>용어 정의</t>
        </is>
      </c>
      <c r="J77" s="6" t="inlineStr"/>
      <c r="K77" s="6" t="inlineStr"/>
    </row>
    <row r="78">
      <c r="A78" s="19" t="inlineStr">
        <is>
          <t>소스별</t>
        </is>
      </c>
      <c r="B78" s="17" t="inlineStr">
        <is>
          <t>지식문서</t>
        </is>
      </c>
      <c r="C78" s="21" t="inlineStr">
        <is>
          <t>system_name</t>
        </is>
      </c>
      <c r="D78" s="5" t="inlineStr">
        <is>
          <t>대상 시스템 · 업무</t>
        </is>
      </c>
      <c r="E78" s="5" t="inlineStr">
        <is>
          <t>VARCHAR2(100)</t>
        </is>
      </c>
      <c r="F78" s="17" t="inlineStr">
        <is>
          <t>권장</t>
        </is>
      </c>
      <c r="G78" s="5" t="inlineStr">
        <is>
          <t>KMS 속성</t>
        </is>
      </c>
      <c r="H78" s="5" t="inlineStr">
        <is>
          <t>필터</t>
        </is>
      </c>
      <c r="I78" s="22" t="inlineStr">
        <is>
          <t>MIS</t>
        </is>
      </c>
      <c r="J78" s="6" t="inlineStr"/>
      <c r="K78" s="6" t="inlineStr"/>
    </row>
    <row r="79">
      <c r="A79" s="19" t="inlineStr">
        <is>
          <t>소스별</t>
        </is>
      </c>
      <c r="B79" s="17" t="inlineStr">
        <is>
          <t>지식문서</t>
        </is>
      </c>
      <c r="C79" s="21" t="inlineStr">
        <is>
          <t>last_updated_at</t>
        </is>
      </c>
      <c r="D79" s="5" t="inlineStr">
        <is>
          <t>최종 수정일</t>
        </is>
      </c>
      <c r="E79" s="5" t="inlineStr">
        <is>
          <t>DATE</t>
        </is>
      </c>
      <c r="F79" s="17" t="inlineStr">
        <is>
          <t>필수</t>
        </is>
      </c>
      <c r="G79" s="5" t="inlineStr">
        <is>
          <t>KMS (= PUBLISHED_AT 로 사용)</t>
        </is>
      </c>
      <c r="H79" s="5" t="inlineStr">
        <is>
          <t>S08 최신성</t>
        </is>
      </c>
      <c r="I79" s="22" t="inlineStr">
        <is>
          <t>2026-08-30</t>
        </is>
      </c>
      <c r="J79" s="6" t="inlineStr"/>
      <c r="K79" s="6" t="inlineStr"/>
    </row>
    <row r="80">
      <c r="A80" s="19" t="inlineStr">
        <is>
          <t>소스별</t>
        </is>
      </c>
      <c r="B80" s="17" t="inlineStr">
        <is>
          <t>지식문서</t>
        </is>
      </c>
      <c r="C80" s="21" t="inlineStr">
        <is>
          <t>last_updated_by</t>
        </is>
      </c>
      <c r="D80" s="5" t="inlineStr">
        <is>
          <t>최종 수정자</t>
        </is>
      </c>
      <c r="E80" s="5" t="inlineStr">
        <is>
          <t>VARCHAR2(100)</t>
        </is>
      </c>
      <c r="F80" s="17" t="inlineStr">
        <is>
          <t>권장</t>
        </is>
      </c>
      <c r="G80" s="5" t="inlineStr">
        <is>
          <t>KMS</t>
        </is>
      </c>
      <c r="H80" s="5" t="inlineStr">
        <is>
          <t>인용 · 문의처</t>
        </is>
      </c>
      <c r="I80" s="22" t="inlineStr">
        <is>
          <t>관리자</t>
        </is>
      </c>
      <c r="J80" s="6" t="inlineStr"/>
      <c r="K80" s="6" t="inlineStr"/>
    </row>
    <row r="81">
      <c r="A81" s="19" t="inlineStr">
        <is>
          <t>소스별</t>
        </is>
      </c>
      <c r="B81" s="17" t="inlineStr">
        <is>
          <t>지식문서</t>
        </is>
      </c>
      <c r="C81" s="21" t="inlineStr">
        <is>
          <t>doc_status</t>
        </is>
      </c>
      <c r="D81" s="5" t="inlineStr">
        <is>
          <t>문서 상태</t>
        </is>
      </c>
      <c r="E81" s="5" t="inlineStr">
        <is>
          <t>VARCHAR2(20)</t>
        </is>
      </c>
      <c r="F81" s="17" t="inlineStr">
        <is>
          <t>필수</t>
        </is>
      </c>
      <c r="G81" s="5" t="inlineStr">
        <is>
          <t>현행 / 개정중 / 폐기</t>
        </is>
      </c>
      <c r="H81" s="5" t="inlineStr">
        <is>
          <t>폐기본 제외</t>
        </is>
      </c>
      <c r="I81" s="22" t="inlineStr">
        <is>
          <t>CURRENT</t>
        </is>
      </c>
      <c r="J81" s="6" t="inlineStr"/>
      <c r="K81" s="6" t="inlineStr"/>
    </row>
    <row r="82">
      <c r="A82" s="19" t="inlineStr">
        <is>
          <t>소스별</t>
        </is>
      </c>
      <c r="B82" s="17" t="inlineStr">
        <is>
          <t>지식문서</t>
        </is>
      </c>
      <c r="C82" s="21" t="inlineStr">
        <is>
          <t>related_docs</t>
        </is>
      </c>
      <c r="D82" s="5" t="inlineStr">
        <is>
          <t>관련 문서</t>
        </is>
      </c>
      <c r="E82" s="5" t="inlineStr">
        <is>
          <t>CLOB(JSON)</t>
        </is>
      </c>
      <c r="F82" s="17" t="inlineStr">
        <is>
          <t>선택</t>
        </is>
      </c>
      <c r="G82" s="5" t="inlineStr">
        <is>
          <t>KMS 링크</t>
        </is>
      </c>
      <c r="H82" s="5" t="inlineStr">
        <is>
          <t>추가 탐색</t>
        </is>
      </c>
      <c r="I82" s="22" t="inlineStr">
        <is>
          <t>["KB_0102"]</t>
        </is>
      </c>
      <c r="J82" s="6" t="inlineStr"/>
      <c r="K82" s="6" t="inlineStr"/>
    </row>
    <row r="83">
      <c r="A83" s="19" t="inlineStr">
        <is>
          <t>소스별</t>
        </is>
      </c>
      <c r="B83" s="17" t="inlineStr">
        <is>
          <t>엔지니어 보고서</t>
        </is>
      </c>
      <c r="C83" s="21" t="inlineStr">
        <is>
          <t>process</t>
        </is>
      </c>
      <c r="D83" s="5" t="inlineStr">
        <is>
          <t>공정</t>
        </is>
      </c>
      <c r="E83" s="5" t="inlineStr">
        <is>
          <t>VARCHAR2(50)</t>
        </is>
      </c>
      <c r="F83" s="17" t="inlineStr">
        <is>
          <t>필수</t>
        </is>
      </c>
      <c r="G83" s="5" t="inlineStr">
        <is>
          <t>문서 속성 · 본문</t>
        </is>
      </c>
      <c r="H83" s="5" t="inlineStr">
        <is>
          <t>필터 · 권한</t>
        </is>
      </c>
      <c r="I83" s="22" t="inlineStr">
        <is>
          <t>TSV</t>
        </is>
      </c>
      <c r="J83" s="6" t="inlineStr"/>
      <c r="K83" s="6" t="inlineStr"/>
    </row>
    <row r="84">
      <c r="A84" s="19" t="inlineStr">
        <is>
          <t>소스별</t>
        </is>
      </c>
      <c r="B84" s="17" t="inlineStr">
        <is>
          <t>엔지니어 보고서</t>
        </is>
      </c>
      <c r="C84" s="21" t="inlineStr">
        <is>
          <t>product</t>
        </is>
      </c>
      <c r="D84" s="5" t="inlineStr">
        <is>
          <t>제품</t>
        </is>
      </c>
      <c r="E84" s="5" t="inlineStr">
        <is>
          <t>VARCHAR2(50)</t>
        </is>
      </c>
      <c r="F84" s="17" t="inlineStr">
        <is>
          <t>필수</t>
        </is>
      </c>
      <c r="G84" s="5" t="inlineStr">
        <is>
          <t>문서 속성</t>
        </is>
      </c>
      <c r="H84" s="5" t="inlineStr">
        <is>
          <t>필터 · 코드값 사전 연결</t>
        </is>
      </c>
      <c r="I84" s="22" t="inlineStr">
        <is>
          <t>HBM4-12H</t>
        </is>
      </c>
      <c r="J84" s="6" t="inlineStr"/>
      <c r="K84" s="6" t="inlineStr"/>
    </row>
    <row r="85">
      <c r="A85" s="19" t="inlineStr">
        <is>
          <t>소스별</t>
        </is>
      </c>
      <c r="B85" s="17" t="inlineStr">
        <is>
          <t>엔지니어 보고서</t>
        </is>
      </c>
      <c r="C85" s="21" t="inlineStr">
        <is>
          <t>fab</t>
        </is>
      </c>
      <c r="D85" s="5" t="inlineStr">
        <is>
          <t>Fab · 라인</t>
        </is>
      </c>
      <c r="E85" s="5" t="inlineStr">
        <is>
          <t>VARCHAR2(30)</t>
        </is>
      </c>
      <c r="F85" s="17" t="inlineStr">
        <is>
          <t>권장</t>
        </is>
      </c>
      <c r="G85" s="5" t="inlineStr">
        <is>
          <t>문서 속성</t>
        </is>
      </c>
      <c r="H85" s="5" t="inlineStr">
        <is>
          <t>필터 · 권한</t>
        </is>
      </c>
      <c r="I85" s="22" t="inlineStr">
        <is>
          <t>M16</t>
        </is>
      </c>
      <c r="J85" s="6" t="inlineStr"/>
      <c r="K85" s="6" t="inlineStr"/>
    </row>
    <row r="86">
      <c r="A86" s="19" t="inlineStr">
        <is>
          <t>소스별</t>
        </is>
      </c>
      <c r="B86" s="17" t="inlineStr">
        <is>
          <t>엔지니어 보고서</t>
        </is>
      </c>
      <c r="C86" s="21" t="inlineStr">
        <is>
          <t>test_item</t>
        </is>
      </c>
      <c r="D86" s="5" t="inlineStr">
        <is>
          <t>평가 항목</t>
        </is>
      </c>
      <c r="E86" s="5" t="inlineStr">
        <is>
          <t>VARCHAR2(100)</t>
        </is>
      </c>
      <c r="F86" s="17" t="inlineStr">
        <is>
          <t>권장</t>
        </is>
      </c>
      <c r="G86" s="5" t="inlineStr">
        <is>
          <t>본문 · 표 제목</t>
        </is>
      </c>
      <c r="H86" s="5" t="inlineStr">
        <is>
          <t>수치 질문</t>
        </is>
      </c>
      <c r="I86" s="22" t="inlineStr">
        <is>
          <t>온도별 신뢰성</t>
        </is>
      </c>
      <c r="J86" s="6" t="inlineStr"/>
      <c r="K86" s="6" t="inlineStr"/>
    </row>
    <row r="87">
      <c r="A87" s="19" t="inlineStr">
        <is>
          <t>소스별</t>
        </is>
      </c>
      <c r="B87" s="17" t="inlineStr">
        <is>
          <t>엔지니어 보고서</t>
        </is>
      </c>
      <c r="C87" s="21" t="inlineStr">
        <is>
          <t>spec_version</t>
        </is>
      </c>
      <c r="D87" s="5" t="inlineStr">
        <is>
          <t>규격 버전</t>
        </is>
      </c>
      <c r="E87" s="5" t="inlineStr">
        <is>
          <t>VARCHAR2(30)</t>
        </is>
      </c>
      <c r="F87" s="17" t="inlineStr">
        <is>
          <t>선택</t>
        </is>
      </c>
      <c r="G87" s="5" t="inlineStr">
        <is>
          <t>본문</t>
        </is>
      </c>
      <c r="H87" s="5" t="inlineStr">
        <is>
          <t>버전 구분</t>
        </is>
      </c>
      <c r="I87" s="22" t="inlineStr">
        <is>
          <t>REL-2.3</t>
        </is>
      </c>
      <c r="J87" s="6" t="inlineStr"/>
      <c r="K87" s="6" t="inlineStr"/>
    </row>
    <row r="88">
      <c r="A88" s="19" t="inlineStr">
        <is>
          <t>소스별</t>
        </is>
      </c>
      <c r="B88" s="17" t="inlineStr">
        <is>
          <t>엔지니어 보고서</t>
        </is>
      </c>
      <c r="C88" s="21" t="inlineStr">
        <is>
          <t>project_code</t>
        </is>
      </c>
      <c r="D88" s="5" t="inlineStr">
        <is>
          <t>과제 코드</t>
        </is>
      </c>
      <c r="E88" s="5" t="inlineStr">
        <is>
          <t>VARCHAR2(50)</t>
        </is>
      </c>
      <c r="F88" s="17" t="inlineStr">
        <is>
          <t>권장</t>
        </is>
      </c>
      <c r="G88" s="5" t="inlineStr">
        <is>
          <t>문서 속성</t>
        </is>
      </c>
      <c r="H88" s="5" t="inlineStr">
        <is>
          <t>S28 과제 그룹 권한</t>
        </is>
      </c>
      <c r="I88" s="22" t="inlineStr">
        <is>
          <t>PRJ-HBM4-REL</t>
        </is>
      </c>
      <c r="J88" s="6" t="inlineStr"/>
      <c r="K88" s="6" t="inlineStr"/>
    </row>
    <row r="89">
      <c r="A89" s="19" t="inlineStr">
        <is>
          <t>소스별</t>
        </is>
      </c>
      <c r="B89" s="17" t="inlineStr">
        <is>
          <t>엔지니어 보고서</t>
        </is>
      </c>
      <c r="C89" s="21" t="inlineStr">
        <is>
          <t>has_measure_table</t>
        </is>
      </c>
      <c r="D89" s="5" t="inlineStr">
        <is>
          <t>측정 표 포함</t>
        </is>
      </c>
      <c r="E89" s="5" t="inlineStr">
        <is>
          <t>CHAR(1)</t>
        </is>
      </c>
      <c r="F89" s="17" t="inlineStr">
        <is>
          <t>권장</t>
        </is>
      </c>
      <c r="G89" s="5" t="inlineStr">
        <is>
          <t>파싱 결과</t>
        </is>
      </c>
      <c r="H89" s="5" t="inlineStr">
        <is>
          <t>표 청크 분리</t>
        </is>
      </c>
      <c r="I89" s="22" t="inlineStr">
        <is>
          <t>Y</t>
        </is>
      </c>
      <c r="J89" s="6" t="inlineStr"/>
      <c r="K89" s="6" t="inlineStr"/>
    </row>
    <row r="90">
      <c r="A90" s="19" t="inlineStr">
        <is>
          <t>소스별</t>
        </is>
      </c>
      <c r="B90" s="17" t="inlineStr">
        <is>
          <t>임원 보고서</t>
        </is>
      </c>
      <c r="C90" s="21" t="inlineStr">
        <is>
          <t>report_to</t>
        </is>
      </c>
      <c r="D90" s="5" t="inlineStr">
        <is>
          <t>보고 대상</t>
        </is>
      </c>
      <c r="E90" s="5" t="inlineStr">
        <is>
          <t>VARCHAR2(100)</t>
        </is>
      </c>
      <c r="F90" s="17" t="inlineStr">
        <is>
          <t>필수</t>
        </is>
      </c>
      <c r="G90" s="5" t="inlineStr">
        <is>
          <t>표지 · 결재선</t>
        </is>
      </c>
      <c r="H90" s="5" t="inlineStr">
        <is>
          <t>S28 ACL</t>
        </is>
      </c>
      <c r="I90" s="22" t="inlineStr">
        <is>
          <t>CEO</t>
        </is>
      </c>
      <c r="J90" s="6" t="inlineStr"/>
      <c r="K90" s="6" t="inlineStr"/>
    </row>
    <row r="91">
      <c r="A91" s="19" t="inlineStr">
        <is>
          <t>소스별</t>
        </is>
      </c>
      <c r="B91" s="17" t="inlineStr">
        <is>
          <t>임원 보고서</t>
        </is>
      </c>
      <c r="C91" s="21" t="inlineStr">
        <is>
          <t>meeting_body</t>
        </is>
      </c>
      <c r="D91" s="5" t="inlineStr">
        <is>
          <t>보고 회의체</t>
        </is>
      </c>
      <c r="E91" s="5" t="inlineStr">
        <is>
          <t>VARCHAR2(100)</t>
        </is>
      </c>
      <c r="F91" s="17" t="inlineStr">
        <is>
          <t>권장</t>
        </is>
      </c>
      <c r="G91" s="5" t="inlineStr">
        <is>
          <t>표지</t>
        </is>
      </c>
      <c r="H91" s="5" t="inlineStr">
        <is>
          <t>필터</t>
        </is>
      </c>
      <c r="I91" s="22" t="inlineStr">
        <is>
          <t>경영회의</t>
        </is>
      </c>
      <c r="J91" s="6" t="inlineStr"/>
      <c r="K91" s="6" t="inlineStr"/>
    </row>
    <row r="92">
      <c r="A92" s="19" t="inlineStr">
        <is>
          <t>소스별</t>
        </is>
      </c>
      <c r="B92" s="17" t="inlineStr">
        <is>
          <t>임원 보고서</t>
        </is>
      </c>
      <c r="C92" s="21" t="inlineStr">
        <is>
          <t>approval_line</t>
        </is>
      </c>
      <c r="D92" s="5" t="inlineStr">
        <is>
          <t>결재선</t>
        </is>
      </c>
      <c r="E92" s="5" t="inlineStr">
        <is>
          <t>CLOB(JSON)</t>
        </is>
      </c>
      <c r="F92" s="17" t="inlineStr">
        <is>
          <t>필수</t>
        </is>
      </c>
      <c r="G92" s="5" t="inlineStr">
        <is>
          <t>그룹웨어</t>
        </is>
      </c>
      <c r="H92" s="5" t="inlineStr">
        <is>
          <t>S28 ACL(열람 가능자)</t>
        </is>
      </c>
      <c r="I92" s="22" t="inlineStr">
        <is>
          <t>["A상무","B전무"]</t>
        </is>
      </c>
      <c r="J92" s="6" t="inlineStr"/>
      <c r="K92" s="6" t="inlineStr"/>
    </row>
    <row r="93">
      <c r="A93" s="19" t="inlineStr">
        <is>
          <t>소스별</t>
        </is>
      </c>
      <c r="B93" s="17" t="inlineStr">
        <is>
          <t>임원 보고서</t>
        </is>
      </c>
      <c r="C93" s="21" t="inlineStr">
        <is>
          <t>decision_items</t>
        </is>
      </c>
      <c r="D93" s="5" t="inlineStr">
        <is>
          <t>결정 · 지시 사항</t>
        </is>
      </c>
      <c r="E93" s="5" t="inlineStr">
        <is>
          <t>CLOB(JSON)</t>
        </is>
      </c>
      <c r="F93" s="17" t="inlineStr">
        <is>
          <t>권장</t>
        </is>
      </c>
      <c r="G93" s="5" t="inlineStr">
        <is>
          <t>본문 추출</t>
        </is>
      </c>
      <c r="H93" s="5" t="inlineStr">
        <is>
          <t>질문 응답 · 추적</t>
        </is>
      </c>
      <c r="I93" s="22" t="inlineStr">
        <is>
          <t>["고객 다변화 추진"]</t>
        </is>
      </c>
      <c r="J93" s="6" t="inlineStr"/>
      <c r="K93" s="6" t="inlineStr"/>
    </row>
    <row r="94">
      <c r="A94" s="19" t="inlineStr">
        <is>
          <t>소스별</t>
        </is>
      </c>
      <c r="B94" s="17" t="inlineStr">
        <is>
          <t>임원 보고서</t>
        </is>
      </c>
      <c r="C94" s="21" t="inlineStr">
        <is>
          <t>confidentiality</t>
        </is>
      </c>
      <c r="D94" s="5" t="inlineStr">
        <is>
          <t>대외 등급</t>
        </is>
      </c>
      <c r="E94" s="5" t="inlineStr">
        <is>
          <t>VARCHAR2(20)</t>
        </is>
      </c>
      <c r="F94" s="17" t="inlineStr">
        <is>
          <t>필수</t>
        </is>
      </c>
      <c r="G94" s="5" t="inlineStr">
        <is>
          <t>표지 표기</t>
        </is>
      </c>
      <c r="H94" s="5" t="inlineStr">
        <is>
          <t>S28 (등급 3 고정)</t>
        </is>
      </c>
      <c r="I94" s="22" t="inlineStr">
        <is>
          <t>CONFIDENTIAL</t>
        </is>
      </c>
      <c r="J94" s="6" t="inlineStr"/>
      <c r="K94" s="6" t="inlineStr"/>
    </row>
    <row r="95">
      <c r="A95" s="19" t="inlineStr">
        <is>
          <t>소스별</t>
        </is>
      </c>
      <c r="B95" s="17" t="inlineStr">
        <is>
          <t>임원 보고서</t>
        </is>
      </c>
      <c r="C95" s="21" t="inlineStr">
        <is>
          <t>summary_slide</t>
        </is>
      </c>
      <c r="D95" s="5" t="inlineStr">
        <is>
          <t>요약 슬라이드 번호</t>
        </is>
      </c>
      <c r="E95" s="5" t="inlineStr">
        <is>
          <t>NUMBER(4)</t>
        </is>
      </c>
      <c r="F95" s="17" t="inlineStr">
        <is>
          <t>권장</t>
        </is>
      </c>
      <c r="G95" s="5" t="inlineStr">
        <is>
          <t>파싱</t>
        </is>
      </c>
      <c r="H95" s="5" t="inlineStr">
        <is>
          <t>리랭크 가중</t>
        </is>
      </c>
      <c r="I95" s="22" t="inlineStr">
        <is>
          <t>2</t>
        </is>
      </c>
      <c r="J95" s="6" t="inlineStr"/>
      <c r="K95" s="6" t="inlineStr"/>
    </row>
    <row r="97">
      <c r="A97" s="13" t="inlineStr">
        <is>
          <t>정리하면서 놓치기 쉬운 것</t>
        </is>
      </c>
    </row>
    <row r="98" ht="28" customHeight="1">
      <c r="A98" s="4" t="inlineStr">
        <is>
          <t>필수(M) 판단 기준</t>
        </is>
      </c>
      <c r="B98" s="23" t="n"/>
      <c r="C98" s="5" t="inlineStr">
        <is>
          <t>이 컬럼이 없으면 검색 · 권한 · 인용 중 하나가 깨지는 것만 M 으로 뒀습니다. 나머지는 R(권장) · O(선택)입니다.</t>
        </is>
      </c>
      <c r="D98" s="24" t="n"/>
      <c r="E98" s="24" t="n"/>
      <c r="F98" s="24" t="n"/>
      <c r="G98" s="24" t="n"/>
      <c r="H98" s="24" t="n"/>
      <c r="I98" s="24" t="n"/>
      <c r="J98" s="24" t="n"/>
      <c r="K98" s="23" t="n"/>
    </row>
    <row r="99" ht="28" customHeight="1">
      <c r="A99" s="4" t="inlineStr">
        <is>
          <t>공통 컬럼 우선</t>
        </is>
      </c>
      <c r="B99" s="23" t="n"/>
      <c r="C99" s="5" t="inlineStr">
        <is>
          <t>필터 · 권한 · 정렬 · 인용에 쓰는 값은 META_EXTRA(JSON)가 아니라 공통 컬럼으로 올립니다. JSON 안의 값으로는 벡터 검색과 동시에 필터를 걸기 어렵습니다.</t>
        </is>
      </c>
      <c r="D99" s="24" t="n"/>
      <c r="E99" s="24" t="n"/>
      <c r="F99" s="24" t="n"/>
      <c r="G99" s="24" t="n"/>
      <c r="H99" s="24" t="n"/>
      <c r="I99" s="24" t="n"/>
      <c r="J99" s="24" t="n"/>
      <c r="K99" s="23" t="n"/>
    </row>
    <row r="100" ht="28" customHeight="1">
      <c r="A100" s="4" t="inlineStr">
        <is>
          <t>권한은 별도 테이블</t>
        </is>
      </c>
      <c r="B100" s="23" t="n"/>
      <c r="C100" s="5" t="inlineStr">
        <is>
          <t>메일 수신자 · 결재선은 JSON 에 두면 권한 필터로 쓸 수 없습니다. RAG_DOC_ACL 행으로 풀어 넣고, Milvus 에는 acl 배열로 복제합니다.</t>
        </is>
      </c>
      <c r="D100" s="24" t="n"/>
      <c r="E100" s="24" t="n"/>
      <c r="F100" s="24" t="n"/>
      <c r="G100" s="24" t="n"/>
      <c r="H100" s="24" t="n"/>
      <c r="I100" s="24" t="n"/>
      <c r="J100" s="24" t="n"/>
      <c r="K100" s="23" t="n"/>
    </row>
    <row r="101" ht="28" customHeight="1">
      <c r="A101" s="4" t="inlineStr">
        <is>
          <t>날짜가 둘인 소스</t>
        </is>
      </c>
      <c r="B101" s="23" t="n"/>
      <c r="C101" s="5" t="inlineStr">
        <is>
          <t>기관 보고서(발행일 vs 데이터 기준 시점), 지식문서(작성일 vs 최종 수정일)는 반드시 둘을 나눠 두고, 검색 기준으로 쓸 쪽을 PUBLISHED_AT 에 넣습니다.</t>
        </is>
      </c>
      <c r="D101" s="24" t="n"/>
      <c r="E101" s="24" t="n"/>
      <c r="F101" s="24" t="n"/>
      <c r="G101" s="24" t="n"/>
      <c r="H101" s="24" t="n"/>
      <c r="I101" s="24" t="n"/>
      <c r="J101" s="24" t="n"/>
      <c r="K101" s="23" t="n"/>
    </row>
    <row r="102" ht="28" customHeight="1">
      <c r="A102" s="4" t="inlineStr">
        <is>
          <t>사내 보유 여부 채우기</t>
        </is>
      </c>
      <c r="B102" s="23" t="n"/>
      <c r="C102" s="5" t="inlineStr">
        <is>
          <t>오른쪽 두 칸(사내 보유 · 사내 컬럼명)을 채우면 그대로 매핑표가 됩니다. "파생 가능"은 다른 컬럼이나 본문에서 만들 수 있다는 뜻입니다.</t>
        </is>
      </c>
      <c r="D102" s="24" t="n"/>
      <c r="E102" s="24" t="n"/>
      <c r="F102" s="24" t="n"/>
      <c r="G102" s="24" t="n"/>
      <c r="H102" s="24" t="n"/>
      <c r="I102" s="24" t="n"/>
      <c r="J102" s="24" t="n"/>
      <c r="K102" s="23" t="n"/>
    </row>
  </sheetData>
  <autoFilter ref="A4:K95"/>
  <mergeCells count="12">
    <mergeCell ref="A100:B100"/>
    <mergeCell ref="C100:K100"/>
    <mergeCell ref="A101:B101"/>
    <mergeCell ref="C101:K101"/>
    <mergeCell ref="C98:K98"/>
    <mergeCell ref="A98:B98"/>
    <mergeCell ref="C99:K99"/>
    <mergeCell ref="A99:B99"/>
    <mergeCell ref="A2:K2"/>
    <mergeCell ref="C102:K102"/>
    <mergeCell ref="A102:B102"/>
    <mergeCell ref="A1:K1"/>
  </mergeCells>
  <conditionalFormatting sqref="F5:F95">
    <cfRule type="cellIs" priority="1" operator="equal" dxfId="5">
      <formula>"필수"</formula>
    </cfRule>
    <cfRule type="cellIs" priority="2" operator="equal" dxfId="6">
      <formula>"권장"</formula>
    </cfRule>
    <cfRule type="cellIs" priority="3" operator="equal" dxfId="7">
      <formula>"선택"</formula>
    </cfRule>
  </conditionalFormatting>
  <conditionalFormatting sqref="J5:J95">
    <cfRule type="cellIs" priority="4" operator="equal" dxfId="0">
      <formula>"보유"</formula>
    </cfRule>
    <cfRule type="cellIs" priority="5" operator="equal" dxfId="1">
      <formula>"파생 가능"</formula>
    </cfRule>
    <cfRule type="cellIs" priority="6" operator="equal" dxfId="8">
      <formula>"없음"</formula>
    </cfRule>
  </conditionalFormatting>
  <dataValidations count="1">
    <dataValidation sqref="J5:J95" showDropDown="0" showInputMessage="0" showErrorMessage="0" allowBlank="1" type="list">
      <formula1>"보유,파생 가능,없음,해당없음"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44"/>
  <sheetViews>
    <sheetView zoomScale="90" workbookViewId="0">
      <selection activeCell="A1" sqref="A1"/>
    </sheetView>
  </sheetViews>
  <sheetFormatPr baseColWidth="8" defaultRowHeight="15"/>
  <cols>
    <col width="17" customWidth="1" min="1" max="1"/>
    <col width="3" customWidth="1" min="2" max="2"/>
    <col width="17" customWidth="1" min="3" max="3"/>
    <col width="3" customWidth="1" min="4" max="4"/>
    <col width="17" customWidth="1" min="5" max="5"/>
    <col width="3" customWidth="1" min="6" max="6"/>
    <col width="17" customWidth="1" min="7" max="7"/>
    <col width="3" customWidth="1" min="8" max="8"/>
    <col width="17" customWidth="1" min="9" max="9"/>
    <col width="3" customWidth="1" min="10" max="10"/>
    <col width="17" customWidth="1" min="11" max="11"/>
    <col width="3" customWidth="1" min="12" max="12"/>
  </cols>
  <sheetData>
    <row r="1">
      <c r="A1" s="1" t="inlineStr">
        <is>
          <t>소스별 처리 흐름 (청킹 전) — 셀 도식</t>
        </is>
      </c>
    </row>
    <row r="2">
      <c r="A2" s="2" t="inlineStr">
        <is>
          <t>색: 회색=입력 · 청록=핵심 처리 · 분홍=제거 · 흰색=일반 · 연두=청킹/메타 산출 · 세로로 여러 줄인 칸 = 분기</t>
        </is>
      </c>
    </row>
    <row r="4">
      <c r="A4" s="25" t="inlineStr">
        <is>
          <t>계열</t>
        </is>
      </c>
    </row>
    <row r="5">
      <c r="A5" s="26" t="inlineStr">
        <is>
          <t>웹 텍스트</t>
        </is>
      </c>
      <c r="B5" s="27" t="inlineStr">
        <is>
          <t>뉴스 · 지식문서</t>
        </is>
      </c>
      <c r="D5" s="28" t="inlineStr">
        <is>
          <t>HTML 본문 추출 → 정규화</t>
        </is>
      </c>
    </row>
    <row r="6">
      <c r="A6" s="26" t="inlineStr">
        <is>
          <t>PDF 문서</t>
        </is>
      </c>
      <c r="B6" s="27" t="inlineStr">
        <is>
          <t>증권사 · 기관 · 엔지니어</t>
        </is>
      </c>
      <c r="D6" s="28" t="inlineStr">
        <is>
          <t>레이아웃 파싱 → 표 분리</t>
        </is>
      </c>
    </row>
    <row r="7">
      <c r="A7" s="26" t="inlineStr">
        <is>
          <t>오피스 문서</t>
        </is>
      </c>
      <c r="B7" s="27" t="inlineStr">
        <is>
          <t>사내 보고서 · 임원 · 회의록</t>
        </is>
      </c>
      <c r="D7" s="28" t="inlineStr">
        <is>
          <t>형식 분기 → 슬라이드 · 헤딩</t>
        </is>
      </c>
    </row>
    <row r="8">
      <c r="A8" s="26" t="inlineStr">
        <is>
          <t>메일</t>
        </is>
      </c>
      <c r="B8" s="27" t="inlineStr">
        <is>
          <t>메일 (+ 첨부)</t>
        </is>
      </c>
      <c r="D8" s="28" t="inlineStr">
        <is>
          <t>헤더 파싱 → 인용 · 서명 제거</t>
        </is>
      </c>
    </row>
    <row r="10">
      <c r="A10" s="13" t="inlineStr">
        <is>
          <t>1. 뉴스</t>
        </is>
      </c>
      <c r="C10" s="2" t="inlineStr">
        <is>
          <t>계열 · 웹 텍스트</t>
        </is>
      </c>
    </row>
    <row r="11" ht="38" customHeight="1">
      <c r="A11" s="29" t="inlineStr">
        <is>
          <t>원문
HTML · 텍스트</t>
        </is>
      </c>
      <c r="B11" s="30" t="inlineStr">
        <is>
          <t>→</t>
        </is>
      </c>
      <c r="C11" s="31" t="inlineStr">
        <is>
          <t>본문 추출
기사 본문만</t>
        </is>
      </c>
      <c r="D11" s="30" t="inlineStr">
        <is>
          <t>→</t>
        </is>
      </c>
      <c r="E11" s="32" t="inlineStr">
        <is>
          <t>노이즈 제거
광고 · 관련기사</t>
        </is>
      </c>
      <c r="F11" s="30" t="inlineStr">
        <is>
          <t>→</t>
        </is>
      </c>
      <c r="G11" s="31" t="inlineStr">
        <is>
          <t>재송고 판정
MinHash 대표 1건</t>
        </is>
      </c>
      <c r="H11" s="30" t="inlineStr">
        <is>
          <t>→</t>
        </is>
      </c>
      <c r="I11" s="33" t="inlineStr">
        <is>
          <t>청킹
기사 1건 = 1청크</t>
        </is>
      </c>
      <c r="J11" s="30" t="inlineStr">
        <is>
          <t>→</t>
        </is>
      </c>
      <c r="K11" s="33" t="inlineStr">
        <is>
          <t>메타 · 태그
언론사 · 회사 · 제품</t>
        </is>
      </c>
    </row>
    <row r="12" ht="38" customHeight="1">
      <c r="A12" s="34" t="inlineStr">
        <is>
          <t>청크 예시</t>
        </is>
      </c>
      <c r="B12" s="35" t="inlineStr">
        <is>
          <t>[뉴스 | 2026-09-15 | 한국경제 | 마이크론, 일본 히로시마 HBM 라인 증설]
마이크론이 히로시마 공장에 HBM 전용 라인을 증설한다고 15일 밝혔다. 투자 규모는 …</t>
        </is>
      </c>
    </row>
    <row r="14">
      <c r="A14" s="13" t="inlineStr">
        <is>
          <t>2. 증권사 리포트</t>
        </is>
      </c>
      <c r="C14" s="2" t="inlineStr">
        <is>
          <t>계열 · PDF 문서</t>
        </is>
      </c>
    </row>
    <row r="15" ht="70" customHeight="1">
      <c r="A15" s="29" t="inlineStr">
        <is>
          <t>원문
PDF</t>
        </is>
      </c>
      <c r="B15" s="30" t="inlineStr">
        <is>
          <t>→</t>
        </is>
      </c>
      <c r="C15" s="31" t="inlineStr">
        <is>
          <t>레이아웃 파싱
페이지 · 단 · 블록</t>
        </is>
      </c>
      <c r="D15" s="30" t="inlineStr">
        <is>
          <t>→</t>
        </is>
      </c>
      <c r="E15" s="32" t="inlineStr">
        <is>
          <t>제거
표지 · 면책 · 머리글</t>
        </is>
      </c>
      <c r="F15" s="30" t="inlineStr">
        <is>
          <t>→</t>
        </is>
      </c>
      <c r="G15" s="31" t="inlineStr">
        <is>
          <t>▸ 본문 · 섹션 단위
▸ 표 · Markdown 표
▸ 차트 · 캡션 · 제외</t>
        </is>
      </c>
      <c r="H15" s="30" t="inlineStr">
        <is>
          <t>→</t>
        </is>
      </c>
      <c r="I15" s="33" t="inlineStr">
        <is>
          <t>청킹
섹션 + 표 별도</t>
        </is>
      </c>
      <c r="J15" s="30" t="inlineStr">
        <is>
          <t>→</t>
        </is>
      </c>
      <c r="K15" s="33" t="inlineStr">
        <is>
          <t>메타
증권사 · 종목 · 의견</t>
        </is>
      </c>
    </row>
    <row r="16" ht="68" customHeight="1">
      <c r="A16" s="34" t="inlineStr">
        <is>
          <t>청크 예시</t>
        </is>
      </c>
      <c r="B16" s="35" t="inlineStr">
        <is>
          <t>[증권사 | 2026-09-12 | ○○증권 | 메모리 3Q 프리뷰 | 표 2. 가격 전망]
| 분기 | DRAM 계약가 QoQ | NAND 계약가 QoQ |
| 3Q26 | +8% | +5% |
| 4Q26 | +6% | +3% |</t>
        </is>
      </c>
    </row>
    <row r="18">
      <c r="A18" s="13" t="inlineStr">
        <is>
          <t>3. 기관 보고서</t>
        </is>
      </c>
      <c r="C18" s="2" t="inlineStr">
        <is>
          <t>계열 · PDF 문서</t>
        </is>
      </c>
    </row>
    <row r="19" ht="38" customHeight="1">
      <c r="A19" s="29" t="inlineStr">
        <is>
          <t>원문
긴 PDF</t>
        </is>
      </c>
      <c r="B19" s="30" t="inlineStr">
        <is>
          <t>→</t>
        </is>
      </c>
      <c r="C19" s="31" t="inlineStr">
        <is>
          <t>목차 인식
장 · 절 경로</t>
        </is>
      </c>
      <c r="D19" s="30" t="inlineStr">
        <is>
          <t>→</t>
        </is>
      </c>
      <c r="E19" s="32" t="inlineStr">
        <is>
          <t>제거
표지 · 목차 · 부록</t>
        </is>
      </c>
      <c r="F19" s="30" t="inlineStr">
        <is>
          <t>→</t>
        </is>
      </c>
      <c r="G19" s="36" t="inlineStr">
        <is>
          <t>표 분리
표 제목 · 단위</t>
        </is>
      </c>
      <c r="H19" s="30" t="inlineStr">
        <is>
          <t>→</t>
        </is>
      </c>
      <c r="I19" s="31" t="inlineStr">
        <is>
          <t>기준 시점
데이터 시점 추출</t>
        </is>
      </c>
      <c r="J19" s="30" t="inlineStr">
        <is>
          <t>→</t>
        </is>
      </c>
      <c r="K19" s="33" t="inlineStr">
        <is>
          <t>청킹
헤딩 경로 단위</t>
        </is>
      </c>
    </row>
    <row r="20" ht="38" customHeight="1">
      <c r="A20" s="34" t="inlineStr">
        <is>
          <t>청크 예시</t>
        </is>
      </c>
      <c r="B20" s="35" t="inlineStr">
        <is>
          <t>[기관 | 발행 2026-09-01 · 기준 2Q26 | ○○리서치 | 3. 공급 &gt; 3.2 DRAM 증설]
2Q26 기준 DRAM 웨이퍼 생산능력은 전년 대비 …</t>
        </is>
      </c>
    </row>
    <row r="22">
      <c r="A22" s="13" t="inlineStr">
        <is>
          <t>4. 메일</t>
        </is>
      </c>
      <c r="C22" s="2" t="inlineStr">
        <is>
          <t>계열 · 메일</t>
        </is>
      </c>
    </row>
    <row r="23" ht="54" customHeight="1">
      <c r="A23" s="29" t="inlineStr">
        <is>
          <t>원문
EML · 본문</t>
        </is>
      </c>
      <c r="B23" s="30" t="inlineStr">
        <is>
          <t>→</t>
        </is>
      </c>
      <c r="C23" s="31" t="inlineStr">
        <is>
          <t>헤더 파싱
발신 · 수신 · 스레드</t>
        </is>
      </c>
      <c r="D23" s="30" t="inlineStr">
        <is>
          <t>→</t>
        </is>
      </c>
      <c r="E23" s="32" t="inlineStr">
        <is>
          <t>인용 제거
이전 메일 본문</t>
        </is>
      </c>
      <c r="F23" s="30" t="inlineStr">
        <is>
          <t>→</t>
        </is>
      </c>
      <c r="G23" s="32" t="inlineStr">
        <is>
          <t>서명 · 면책 제거
회사 서명 블록</t>
        </is>
      </c>
      <c r="H23" s="30" t="inlineStr">
        <is>
          <t>→</t>
        </is>
      </c>
      <c r="I23" s="31" t="inlineStr">
        <is>
          <t>▸ 본문 · 스레드 병합
▸ 첨부 · 원 유형 파이프라인</t>
        </is>
      </c>
      <c r="J23" s="30" t="inlineStr">
        <is>
          <t>→</t>
        </is>
      </c>
      <c r="K23" s="33" t="inlineStr">
        <is>
          <t>청킹 · ACL
스레드 단위 · 수신자</t>
        </is>
      </c>
    </row>
    <row r="24" ht="53" customHeight="1">
      <c r="A24" s="34" t="inlineStr">
        <is>
          <t>청크 예시</t>
        </is>
      </c>
      <c r="B24" s="35" t="inlineStr">
        <is>
          <t>[메일 | 2026-09-10 | 영업전략팀 | RE: 4Q 발주 조정 건 | 스레드 3통]
(09-08 김OO) 고객사 A 4Q 발주 10% 하향 통보 …
(09-10 이OO) 대응안 …</t>
        </is>
      </c>
    </row>
    <row r="26">
      <c r="A26" s="13" t="inlineStr">
        <is>
          <t>5. 회의록</t>
        </is>
      </c>
      <c r="C26" s="2" t="inlineStr">
        <is>
          <t>계열 · 오피스 문서</t>
        </is>
      </c>
    </row>
    <row r="27" ht="38" customHeight="1">
      <c r="A27" s="29" t="inlineStr">
        <is>
          <t>원문
문서 · 양식</t>
        </is>
      </c>
      <c r="B27" s="30" t="inlineStr">
        <is>
          <t>→</t>
        </is>
      </c>
      <c r="C27" s="31" t="inlineStr">
        <is>
          <t>양식 인식
일시 · 참석자 · 안건</t>
        </is>
      </c>
      <c r="D27" s="30" t="inlineStr">
        <is>
          <t>→</t>
        </is>
      </c>
      <c r="E27" s="36" t="inlineStr">
        <is>
          <t>필드 추출
결정 · 액션 아이템</t>
        </is>
      </c>
      <c r="F27" s="30" t="inlineStr">
        <is>
          <t>→</t>
        </is>
      </c>
      <c r="G27" s="31" t="inlineStr">
        <is>
          <t>안건 분할
안건별로 나눔</t>
        </is>
      </c>
      <c r="H27" s="30" t="inlineStr">
        <is>
          <t>→</t>
        </is>
      </c>
      <c r="I27" s="33" t="inlineStr">
        <is>
          <t>청킹
안건 = 1청크</t>
        </is>
      </c>
      <c r="J27" s="30" t="inlineStr">
        <is>
          <t>→</t>
        </is>
      </c>
      <c r="K27" s="33" t="inlineStr">
        <is>
          <t>메타 · ACL
참석자 · 주관 부서</t>
        </is>
      </c>
    </row>
    <row r="28" ht="38" customHeight="1">
      <c r="A28" s="34" t="inlineStr">
        <is>
          <t>청크 예시</t>
        </is>
      </c>
      <c r="B28" s="35" t="inlineStr">
        <is>
          <t>[회의록 | 2026-09-17 | 시장분석팀 주간회의 | 안건 2. HBM 수요 점검]
결정: 4Q 전망 유지 / 액션: 고객별 발주 재확인 (박OO, 9/24)</t>
        </is>
      </c>
    </row>
    <row r="30">
      <c r="A30" s="13" t="inlineStr">
        <is>
          <t>6. 사내 보고서</t>
        </is>
      </c>
      <c r="C30" s="2" t="inlineStr">
        <is>
          <t>계열 · 오피스 문서</t>
        </is>
      </c>
    </row>
    <row r="31" ht="70" customHeight="1">
      <c r="A31" s="29" t="inlineStr">
        <is>
          <t>원문
PPT · Word · Excel</t>
        </is>
      </c>
      <c r="B31" s="30" t="inlineStr">
        <is>
          <t>→</t>
        </is>
      </c>
      <c r="C31" s="31" t="inlineStr">
        <is>
          <t>버전 판정
최종본만</t>
        </is>
      </c>
      <c r="D31" s="30" t="inlineStr">
        <is>
          <t>→</t>
        </is>
      </c>
      <c r="E31" s="31" t="inlineStr">
        <is>
          <t>▸ PPT · 슬라이드 제목+본문
▸ Word · 헤딩 구조
▸ Excel · 시트 → 표 요약</t>
        </is>
      </c>
      <c r="F31" s="30" t="inlineStr">
        <is>
          <t>→</t>
        </is>
      </c>
      <c r="G31" s="32" t="inlineStr">
        <is>
          <t>정제
표지 · 목차 · 빈 슬라이드</t>
        </is>
      </c>
      <c r="H31" s="30" t="inlineStr">
        <is>
          <t>→</t>
        </is>
      </c>
      <c r="I31" s="33" t="inlineStr">
        <is>
          <t>청킹
슬라이드 · 헤딩 단위</t>
        </is>
      </c>
      <c r="J31" s="30" t="inlineStr">
        <is>
          <t>→</t>
        </is>
      </c>
      <c r="K31" s="33" t="inlineStr">
        <is>
          <t>메타 · ACL
부서 · 버전 · 등급</t>
        </is>
      </c>
    </row>
    <row r="32" ht="38" customHeight="1">
      <c r="A32" s="34" t="inlineStr">
        <is>
          <t>청크 예시</t>
        </is>
      </c>
      <c r="B32" s="35" t="inlineStr">
        <is>
          <t>[사내보고서 | 2026-09-05 | 시장분석팀 | 3Q 메모리 수요 점검 v1.0 | 슬라이드 7]
 eSSD 수요 전망: 2026년 … EB (전년 대비 +…%)</t>
        </is>
      </c>
    </row>
    <row r="34">
      <c r="A34" s="13" t="inlineStr">
        <is>
          <t>7. 지식문서</t>
        </is>
      </c>
      <c r="C34" s="2" t="inlineStr">
        <is>
          <t>계열 · 웹 텍스트</t>
        </is>
      </c>
    </row>
    <row r="35" ht="38" customHeight="1">
      <c r="A35" s="29" t="inlineStr">
        <is>
          <t>원문
HTML · 위키</t>
        </is>
      </c>
      <c r="B35" s="30" t="inlineStr">
        <is>
          <t>→</t>
        </is>
      </c>
      <c r="C35" s="31" t="inlineStr">
        <is>
          <t>구조 보존
헤딩 · 목록 · 표</t>
        </is>
      </c>
      <c r="D35" s="30" t="inlineStr">
        <is>
          <t>→</t>
        </is>
      </c>
      <c r="E35" s="32" t="inlineStr">
        <is>
          <t>제거
메뉴 · 푸터 · 댓글</t>
        </is>
      </c>
      <c r="F35" s="30" t="inlineStr">
        <is>
          <t>→</t>
        </is>
      </c>
      <c r="G35" s="31" t="inlineStr">
        <is>
          <t>최신본 판정
최종 수정일</t>
        </is>
      </c>
      <c r="H35" s="30" t="inlineStr">
        <is>
          <t>→</t>
        </is>
      </c>
      <c r="I35" s="33" t="inlineStr">
        <is>
          <t>청킹
헤딩 단위</t>
        </is>
      </c>
      <c r="J35" s="30" t="inlineStr">
        <is>
          <t>→</t>
        </is>
      </c>
      <c r="K35" s="33" t="inlineStr">
        <is>
          <t>메타
소관 부서 · 수정일</t>
        </is>
      </c>
    </row>
    <row r="36" ht="38" customHeight="1">
      <c r="A36" s="34" t="inlineStr">
        <is>
          <t>청크 예시</t>
        </is>
      </c>
      <c r="B36" s="35" t="inlineStr">
        <is>
          <t>[지식문서 | 수정 2026-08-30 | MIS | 용어 정의 &gt; Sufficiency Ratio]
수급 충족률 = 공급 / 수요 …</t>
        </is>
      </c>
    </row>
    <row r="38">
      <c r="A38" s="13" t="inlineStr">
        <is>
          <t>8. 엔지니어 보고서</t>
        </is>
      </c>
      <c r="C38" s="2" t="inlineStr">
        <is>
          <t>계열 · PDF 문서</t>
        </is>
      </c>
    </row>
    <row r="39" ht="70" customHeight="1">
      <c r="A39" s="29" t="inlineStr">
        <is>
          <t>원문
PDF · 오피스</t>
        </is>
      </c>
      <c r="B39" s="30" t="inlineStr">
        <is>
          <t>→</t>
        </is>
      </c>
      <c r="C39" s="31" t="inlineStr">
        <is>
          <t>레이아웃 파싱
섹션 · 그림 · 표</t>
        </is>
      </c>
      <c r="D39" s="30" t="inlineStr">
        <is>
          <t>→</t>
        </is>
      </c>
      <c r="E39" s="31" t="inlineStr">
        <is>
          <t>▸ 본문 · 섹션 단위
▸ 측정 표 · Markdown 표
▸ 그래프 · 제목 · 축만</t>
        </is>
      </c>
      <c r="F39" s="30" t="inlineStr">
        <is>
          <t>→</t>
        </is>
      </c>
      <c r="G39" s="31" t="inlineStr">
        <is>
          <t>약어 풀이
공정 약어 사전</t>
        </is>
      </c>
      <c r="H39" s="30" t="inlineStr">
        <is>
          <t>→</t>
        </is>
      </c>
      <c r="I39" s="33" t="inlineStr">
        <is>
          <t>청킹
섹션 + 표 별도</t>
        </is>
      </c>
      <c r="J39" s="30" t="inlineStr">
        <is>
          <t>→</t>
        </is>
      </c>
      <c r="K39" s="33" t="inlineStr">
        <is>
          <t>메타 · ACL
공정 · 제품 · 과제</t>
        </is>
      </c>
    </row>
    <row r="40" ht="38" customHeight="1">
      <c r="A40" s="34" t="inlineStr">
        <is>
          <t>청크 예시</t>
        </is>
      </c>
      <c r="B40" s="35" t="inlineStr">
        <is>
          <t>[엔지니어 | 2026-09-02 | ○○개발팀 | HBM4 12단 신뢰성 평가 | 표 3. 온도별 결과]
| 조건 | 불량률 | …</t>
        </is>
      </c>
    </row>
    <row r="42">
      <c r="A42" s="13" t="inlineStr">
        <is>
          <t>9. 임원 보고서</t>
        </is>
      </c>
      <c r="C42" s="2" t="inlineStr">
        <is>
          <t>계열 · 오피스 문서</t>
        </is>
      </c>
    </row>
    <row r="43" ht="38" customHeight="1">
      <c r="A43" s="29" t="inlineStr">
        <is>
          <t>원문
PPT</t>
        </is>
      </c>
      <c r="B43" s="30" t="inlineStr">
        <is>
          <t>→</t>
        </is>
      </c>
      <c r="C43" s="31" t="inlineStr">
        <is>
          <t>최종본 판정
보고 완료본</t>
        </is>
      </c>
      <c r="D43" s="30" t="inlineStr">
        <is>
          <t>→</t>
        </is>
      </c>
      <c r="E43" s="31" t="inlineStr">
        <is>
          <t>요약 우선
요약 · 결론 슬라이드</t>
        </is>
      </c>
      <c r="F43" s="30" t="inlineStr">
        <is>
          <t>→</t>
        </is>
      </c>
      <c r="G43" s="32" t="inlineStr">
        <is>
          <t>정제
표지 · 간지</t>
        </is>
      </c>
      <c r="H43" s="30" t="inlineStr">
        <is>
          <t>→</t>
        </is>
      </c>
      <c r="I43" s="33" t="inlineStr">
        <is>
          <t>청킹
슬라이드 단위</t>
        </is>
      </c>
      <c r="J43" s="30" t="inlineStr">
        <is>
          <t>→</t>
        </is>
      </c>
      <c r="K43" s="33" t="inlineStr">
        <is>
          <t>ACL
등급 3 · 결재선</t>
        </is>
      </c>
    </row>
    <row r="44" ht="38" customHeight="1">
      <c r="A44" s="34" t="inlineStr">
        <is>
          <t>청크 예시</t>
        </is>
      </c>
      <c r="B44" s="35" t="inlineStr">
        <is>
          <t>[임원보고 | 2026-09-11 | 전략기획 | 3Q 경영 현안 | 슬라이드 2. 요약]
 HBM 리스크: …</t>
        </is>
      </c>
    </row>
  </sheetData>
  <mergeCells count="19">
    <mergeCell ref="B7:C7"/>
    <mergeCell ref="B40:K40"/>
    <mergeCell ref="B24:K24"/>
    <mergeCell ref="B20:K20"/>
    <mergeCell ref="D7:I7"/>
    <mergeCell ref="B36:K36"/>
    <mergeCell ref="A2:L2"/>
    <mergeCell ref="B32:K32"/>
    <mergeCell ref="B16:K16"/>
    <mergeCell ref="B8:C8"/>
    <mergeCell ref="D8:I8"/>
    <mergeCell ref="D5:I5"/>
    <mergeCell ref="B12:K12"/>
    <mergeCell ref="B6:C6"/>
    <mergeCell ref="B5:C5"/>
    <mergeCell ref="A1:L1"/>
    <mergeCell ref="B44:K44"/>
    <mergeCell ref="D6:I6"/>
    <mergeCell ref="B28:K28"/>
  </mergeCells>
  <pageMargins left="0.75" right="0.75" top="1" bottom="1" header="0.5" footer="0.5"/>
  <pageSetup orientation="landscape" fitToHeight="0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48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44" customWidth="1" min="3" max="3"/>
    <col width="44" customWidth="1" min="4" max="4"/>
    <col width="28" customWidth="1" min="5" max="5"/>
    <col width="9" customWidth="1" min="6" max="6"/>
    <col width="22" customWidth="1" min="7" max="7"/>
  </cols>
  <sheetData>
    <row r="1">
      <c r="A1" s="1" t="inlineStr">
        <is>
          <t>소스별 처리 흐름 — 단계별 처리 내용 · 판단 기준</t>
        </is>
      </c>
    </row>
    <row r="2">
      <c r="A2" s="2" t="inlineStr">
        <is>
          <t>맨 위 "선확인" 3행부터 · 연노랑 칸만 입력</t>
        </is>
      </c>
    </row>
    <row r="4">
      <c r="A4" s="3" t="inlineStr">
        <is>
          <t>소스</t>
        </is>
      </c>
      <c r="B4" s="3" t="inlineStr">
        <is>
          <t>단계</t>
        </is>
      </c>
      <c r="C4" s="3" t="inlineStr">
        <is>
          <t>처리 내용</t>
        </is>
      </c>
      <c r="D4" s="3" t="inlineStr">
        <is>
          <t>판단 기준 · 확인 방법</t>
        </is>
      </c>
      <c r="E4" s="3" t="inlineStr">
        <is>
          <t>현 수준</t>
        </is>
      </c>
      <c r="F4" s="3" t="inlineStr">
        <is>
          <t>상태</t>
        </is>
      </c>
      <c r="G4" s="3" t="inlineStr">
        <is>
          <t>메모</t>
        </is>
      </c>
    </row>
    <row r="5">
      <c r="A5" s="19" t="inlineStr">
        <is>
          <t>① 선확인</t>
        </is>
      </c>
      <c r="B5" s="5" t="inlineStr">
        <is>
          <t>원문 DB에 무엇이 저장돼 있나</t>
        </is>
      </c>
      <c r="C5" s="5" t="inlineStr">
        <is>
          <t>① 원본 파일(BLOB/경로) ② 추출 텍스트만 ③ HTML·구조 태그 포함</t>
        </is>
      </c>
      <c r="D5" s="5" t="inlineStr">
        <is>
          <t>② 텍스트만이면 표 · 헤딩 구조가 이미 사라졌을 수 있음 → PDF · 오피스 계열은 원본 재파싱이 필요한지 샘플로 판단</t>
        </is>
      </c>
      <c r="E5" s="6" t="inlineStr"/>
      <c r="F5" s="18" t="inlineStr">
        <is>
          <t>미확인</t>
        </is>
      </c>
      <c r="G5" s="6" t="inlineStr"/>
    </row>
    <row r="6">
      <c r="A6" s="19" t="inlineStr">
        <is>
          <t>① 선확인</t>
        </is>
      </c>
      <c r="B6" s="5" t="inlineStr">
        <is>
          <t>원본 파일에 다시 접근할 수 있나</t>
        </is>
      </c>
      <c r="C6" s="5" t="inlineStr">
        <is>
          <t>파일 서버 · 그룹웨어 · 메일 서버 경로가 doc id로 연결되는지</t>
        </is>
      </c>
      <c r="D6" s="5" t="inlineStr">
        <is>
          <t>접근 가능 → 계열별 파서로 재파싱 / 불가 → 텍스트 기반 정제만 (표 복원은 포기하고 표 청크 제외)</t>
        </is>
      </c>
      <c r="E6" s="6" t="inlineStr"/>
      <c r="F6" s="18" t="inlineStr">
        <is>
          <t>미확인</t>
        </is>
      </c>
      <c r="G6" s="6" t="inlineStr"/>
    </row>
    <row r="7">
      <c r="A7" s="19" t="inlineStr">
        <is>
          <t>① 선확인</t>
        </is>
      </c>
      <c r="B7" s="5" t="inlineStr">
        <is>
          <t>기존 파서가 표 · 헤딩을 보존하나</t>
        </is>
      </c>
      <c r="C7" s="5" t="inlineStr">
        <is>
          <t>증권사 PDF 5건, 사내 PPT 5건을 원본과 나란히 비교</t>
        </is>
      </c>
      <c r="D7" s="5" t="inlineStr">
        <is>
          <t>보존 → 기존 파서 유지 + 정제만 추가 / 깨짐 → 해당 계열만 파서 교체</t>
        </is>
      </c>
      <c r="E7" s="6" t="inlineStr"/>
      <c r="F7" s="18" t="inlineStr">
        <is>
          <t>미확인</t>
        </is>
      </c>
      <c r="G7" s="6" t="inlineStr"/>
    </row>
    <row r="8">
      <c r="A8" s="19" t="inlineStr">
        <is>
          <t>뉴스</t>
        </is>
      </c>
      <c r="B8" s="5" t="inlineStr">
        <is>
          <t>본문 추출</t>
        </is>
      </c>
      <c r="C8" s="5" t="inlineStr">
        <is>
          <t>제목 · 본문 · 발행일시만 남김</t>
        </is>
      </c>
      <c r="D8" s="5" t="inlineStr">
        <is>
          <t>샘플 10건: 본문 앞뒤에 메뉴 · 기자 소개가 남는지</t>
        </is>
      </c>
      <c r="E8" s="6" t="inlineStr"/>
      <c r="F8" s="18" t="inlineStr">
        <is>
          <t>미확인</t>
        </is>
      </c>
      <c r="G8" s="6" t="inlineStr"/>
    </row>
    <row r="9">
      <c r="A9" s="19" t="inlineStr">
        <is>
          <t>뉴스</t>
        </is>
      </c>
      <c r="B9" s="5" t="inlineStr">
        <is>
          <t>노이즈 제거</t>
        </is>
      </c>
      <c r="C9" s="5" t="inlineStr">
        <is>
          <t>광고 문구, 관련기사 목록, 저작권 · 무단전재 문구, 기자 이메일</t>
        </is>
      </c>
      <c r="D9" s="5" t="inlineStr">
        <is>
          <t>"무단 전재" "관련기사" 같은 패턴이 청크에 남는 비율</t>
        </is>
      </c>
      <c r="E9" s="6" t="inlineStr"/>
      <c r="F9" s="18" t="inlineStr">
        <is>
          <t>미확인</t>
        </is>
      </c>
      <c r="G9" s="6" t="inlineStr"/>
    </row>
    <row r="10">
      <c r="A10" s="19" t="inlineStr">
        <is>
          <t>뉴스</t>
        </is>
      </c>
      <c r="B10" s="5" t="inlineStr">
        <is>
          <t>재송고 판정</t>
        </is>
      </c>
      <c r="C10" s="5" t="inlineStr">
        <is>
          <t>본문 유사도 0.9 이상 묶기 → 가장 이른 기사 1건만 대표, 나머지는 링크로</t>
        </is>
      </c>
      <c r="D10" s="5" t="inlineStr">
        <is>
          <t>같은 사건 기사가 검색 상위를 채우는지 (센싱에서 특히 중요)</t>
        </is>
      </c>
      <c r="E10" s="6" t="inlineStr"/>
      <c r="F10" s="18" t="inlineStr">
        <is>
          <t>미확인</t>
        </is>
      </c>
      <c r="G10" s="6" t="inlineStr"/>
    </row>
    <row r="11">
      <c r="A11" s="19" t="inlineStr">
        <is>
          <t>뉴스</t>
        </is>
      </c>
      <c r="B11" s="5" t="inlineStr">
        <is>
          <t>청킹</t>
        </is>
      </c>
      <c r="C11" s="5" t="inlineStr">
        <is>
          <t>기사 1건 = 1청크, 800토큰 넘으면 문단 경계로 2개</t>
        </is>
      </c>
      <c r="D11" s="5" t="inlineStr">
        <is>
          <t>청크 길이 분포, 기사 중간 잘림</t>
        </is>
      </c>
      <c r="E11" s="6" t="inlineStr"/>
      <c r="F11" s="18" t="inlineStr">
        <is>
          <t>미확인</t>
        </is>
      </c>
      <c r="G11" s="6" t="inlineStr"/>
    </row>
    <row r="12">
      <c r="A12" s="19" t="inlineStr">
        <is>
          <t>뉴스</t>
        </is>
      </c>
      <c r="B12" s="5" t="inlineStr">
        <is>
          <t>메타 · 태그</t>
        </is>
      </c>
      <c r="C12" s="5" t="inlineStr">
        <is>
          <t>언론사 · 발행일시 · URL + 사내 LLM으로 회사 · 제품 · 이벤트 태그</t>
        </is>
      </c>
      <c r="D12" s="5" t="inlineStr">
        <is>
          <t>태그 샘플 20건 정확도</t>
        </is>
      </c>
      <c r="E12" s="6" t="inlineStr"/>
      <c r="F12" s="18" t="inlineStr">
        <is>
          <t>미확인</t>
        </is>
      </c>
      <c r="G12" s="6" t="inlineStr"/>
    </row>
    <row r="13">
      <c r="A13" s="19" t="inlineStr">
        <is>
          <t>증권사 리포트</t>
        </is>
      </c>
      <c r="B13" s="5" t="inlineStr">
        <is>
          <t>레이아웃 파싱</t>
        </is>
      </c>
      <c r="C13" s="5" t="inlineStr">
        <is>
          <t>2단 편집 · 사이드바를 읽기 순서대로</t>
        </is>
      </c>
      <c r="D13" s="5" t="inlineStr">
        <is>
          <t>원본 PDF와 추출 텍스트 5건 비교: 좌우 단이 섞이는지</t>
        </is>
      </c>
      <c r="E13" s="6" t="inlineStr"/>
      <c r="F13" s="18" t="inlineStr">
        <is>
          <t>미확인</t>
        </is>
      </c>
      <c r="G13" s="6" t="inlineStr"/>
    </row>
    <row r="14">
      <c r="A14" s="19" t="inlineStr">
        <is>
          <t>증권사 리포트</t>
        </is>
      </c>
      <c r="B14" s="5" t="inlineStr">
        <is>
          <t>제거</t>
        </is>
      </c>
      <c r="C14" s="5" t="inlineStr">
        <is>
          <t>표지, Compliance Notice, 애널리스트 인증, 페이지마다 반복되는 머리글 · 바닥글</t>
        </is>
      </c>
      <c r="D14" s="5" t="inlineStr">
        <is>
          <t>면책 문구가 청크에 들어간 비율 (보통 가장 흔한 노이즈)</t>
        </is>
      </c>
      <c r="E14" s="6" t="inlineStr"/>
      <c r="F14" s="18" t="inlineStr">
        <is>
          <t>미확인</t>
        </is>
      </c>
      <c r="G14" s="6" t="inlineStr"/>
    </row>
    <row r="15">
      <c r="A15" s="19" t="inlineStr">
        <is>
          <t>증권사 리포트</t>
        </is>
      </c>
      <c r="B15" s="5" t="inlineStr">
        <is>
          <t>분기 — 표</t>
        </is>
      </c>
      <c r="C15" s="5" t="inlineStr">
        <is>
          <t>표를 Markdown 표로, 표 제목 · 단위 · 기준 시점을 표 위에 붙임</t>
        </is>
      </c>
      <c r="D15" s="5" t="inlineStr">
        <is>
          <t>숫자가 행 · 열 위치를 잃지 않는지 (SM05 수치 질문으로 확인)</t>
        </is>
      </c>
      <c r="E15" s="6" t="inlineStr"/>
      <c r="F15" s="18" t="inlineStr">
        <is>
          <t>미확인</t>
        </is>
      </c>
      <c r="G15" s="6" t="inlineStr"/>
    </row>
    <row r="16">
      <c r="A16" s="19" t="inlineStr">
        <is>
          <t>증권사 리포트</t>
        </is>
      </c>
      <c r="B16" s="5" t="inlineStr">
        <is>
          <t>분기 — 차트</t>
        </is>
      </c>
      <c r="C16" s="5" t="inlineStr">
        <is>
          <t>차트 제목 · 출처만 텍스트로, 수치는 사내 VLM 가능할 때만</t>
        </is>
      </c>
      <c r="D16" s="5" t="inlineStr">
        <is>
          <t>차트 수치를 묻는 질문 비중이 크면 VLM 검토</t>
        </is>
      </c>
      <c r="E16" s="6" t="inlineStr"/>
      <c r="F16" s="18" t="inlineStr">
        <is>
          <t>미확인</t>
        </is>
      </c>
      <c r="G16" s="6" t="inlineStr"/>
    </row>
    <row r="17">
      <c r="A17" s="19" t="inlineStr">
        <is>
          <t>증권사 리포트</t>
        </is>
      </c>
      <c r="B17" s="5" t="inlineStr">
        <is>
          <t>청킹</t>
        </is>
      </c>
      <c r="C17" s="5" t="inlineStr">
        <is>
          <t>섹션 단위 400~800토큰, 표는 CHUNK_KIND=TABLE 별도 청크</t>
        </is>
      </c>
      <c r="D17" s="5" t="inlineStr">
        <is>
          <t>표가 두 청크로 쪼개지는지</t>
        </is>
      </c>
      <c r="E17" s="6" t="inlineStr"/>
      <c r="F17" s="18" t="inlineStr">
        <is>
          <t>미확인</t>
        </is>
      </c>
      <c r="G17" s="6" t="inlineStr"/>
    </row>
    <row r="18">
      <c r="A18" s="19" t="inlineStr">
        <is>
          <t>증권사 리포트</t>
        </is>
      </c>
      <c r="B18" s="5" t="inlineStr">
        <is>
          <t>메타</t>
        </is>
      </c>
      <c r="C18" s="5" t="inlineStr">
        <is>
          <t>발행일 · 증권사 · 애널리스트 · 대상 종목/산업 · 투자의견 · 목표가</t>
        </is>
      </c>
      <c r="D18" s="5" t="inlineStr">
        <is>
          <t>투자의견 · 목표가 추출 정확도</t>
        </is>
      </c>
      <c r="E18" s="6" t="inlineStr"/>
      <c r="F18" s="18" t="inlineStr">
        <is>
          <t>미확인</t>
        </is>
      </c>
      <c r="G18" s="6" t="inlineStr"/>
    </row>
    <row r="19">
      <c r="A19" s="19" t="inlineStr">
        <is>
          <t>기관 보고서</t>
        </is>
      </c>
      <c r="B19" s="5" t="inlineStr">
        <is>
          <t>목차 인식</t>
        </is>
      </c>
      <c r="C19" s="5" t="inlineStr">
        <is>
          <t>헤딩 계층을 SECTION_PATH로 (예: 3. 공급 &gt; 3.2 DRAM 증설)</t>
        </is>
      </c>
      <c r="D19" s="5" t="inlineStr">
        <is>
          <t>헤딩이 본문과 구분되는지 (글꼴 · 번호 체계)</t>
        </is>
      </c>
      <c r="E19" s="6" t="inlineStr"/>
      <c r="F19" s="18" t="inlineStr">
        <is>
          <t>미확인</t>
        </is>
      </c>
      <c r="G19" s="6" t="inlineStr"/>
    </row>
    <row r="20">
      <c r="A20" s="19" t="inlineStr">
        <is>
          <t>기관 보고서</t>
        </is>
      </c>
      <c r="B20" s="5" t="inlineStr">
        <is>
          <t>제거</t>
        </is>
      </c>
      <c r="C20" s="5" t="inlineStr">
        <is>
          <t>표지, 목차 페이지, 반복 부록 · 방법론</t>
        </is>
      </c>
      <c r="D20" s="5" t="inlineStr">
        <is>
          <t>목차 페이지가 청크로 들어가면 검색 상위를 오염시킴</t>
        </is>
      </c>
      <c r="E20" s="6" t="inlineStr"/>
      <c r="F20" s="18" t="inlineStr">
        <is>
          <t>미확인</t>
        </is>
      </c>
      <c r="G20" s="6" t="inlineStr"/>
    </row>
    <row r="21">
      <c r="A21" s="19" t="inlineStr">
        <is>
          <t>기관 보고서</t>
        </is>
      </c>
      <c r="B21" s="5" t="inlineStr">
        <is>
          <t>표 분리</t>
        </is>
      </c>
      <c r="C21" s="5" t="inlineStr">
        <is>
          <t>증권사와 동일 — 표 제목 · 단위 부착</t>
        </is>
      </c>
      <c r="D21" s="5" t="inlineStr">
        <is>
          <t>—</t>
        </is>
      </c>
      <c r="E21" s="6" t="inlineStr"/>
      <c r="F21" s="18" t="inlineStr">
        <is>
          <t>미확인</t>
        </is>
      </c>
      <c r="G21" s="6" t="inlineStr"/>
    </row>
    <row r="22">
      <c r="A22" s="19" t="inlineStr">
        <is>
          <t>기관 보고서</t>
        </is>
      </c>
      <c r="B22" s="5" t="inlineStr">
        <is>
          <t>기준 시점</t>
        </is>
      </c>
      <c r="C22" s="5" t="inlineStr">
        <is>
          <t>"2Q26 기준", "as of June 2026" 같은 데이터 시점을 발행일과 별도 기록</t>
        </is>
      </c>
      <c r="D22" s="5" t="inlineStr">
        <is>
          <t>발행일과 기준 시점이 다른 문서 비율</t>
        </is>
      </c>
      <c r="E22" s="6" t="inlineStr"/>
      <c r="F22" s="18" t="inlineStr">
        <is>
          <t>미확인</t>
        </is>
      </c>
      <c r="G22" s="6" t="inlineStr"/>
    </row>
    <row r="23">
      <c r="A23" s="19" t="inlineStr">
        <is>
          <t>기관 보고서</t>
        </is>
      </c>
      <c r="B23" s="5" t="inlineStr">
        <is>
          <t>청킹</t>
        </is>
      </c>
      <c r="C23" s="5" t="inlineStr">
        <is>
          <t>섹션 400~800토큰, 헤더에 SECTION_PATH 포함</t>
        </is>
      </c>
      <c r="D23" s="5" t="inlineStr">
        <is>
          <t>섹션 경계에서 잘리는지</t>
        </is>
      </c>
      <c r="E23" s="6" t="inlineStr"/>
      <c r="F23" s="18" t="inlineStr">
        <is>
          <t>미확인</t>
        </is>
      </c>
      <c r="G23" s="6" t="inlineStr"/>
    </row>
    <row r="24">
      <c r="A24" s="19" t="inlineStr">
        <is>
          <t>메일</t>
        </is>
      </c>
      <c r="B24" s="5" t="inlineStr">
        <is>
          <t>헤더 파싱</t>
        </is>
      </c>
      <c r="C24" s="5" t="inlineStr">
        <is>
          <t>From · To · Cc · Date · Subject · Message-ID · In-Reply-To로 스레드 식별</t>
        </is>
      </c>
      <c r="D24" s="5" t="inlineStr">
        <is>
          <t>thread_id가 비어 있는 메일 비율</t>
        </is>
      </c>
      <c r="E24" s="6" t="inlineStr"/>
      <c r="F24" s="18" t="inlineStr">
        <is>
          <t>미확인</t>
        </is>
      </c>
      <c r="G24" s="6" t="inlineStr"/>
    </row>
    <row r="25">
      <c r="A25" s="19" t="inlineStr">
        <is>
          <t>메일</t>
        </is>
      </c>
      <c r="B25" s="5" t="inlineStr">
        <is>
          <t>인용 제거</t>
        </is>
      </c>
      <c r="C25" s="5" t="inlineStr">
        <is>
          <t>"-----Original Message-----", "보낸 사람:", "&gt;" 로 시작하는 줄 이후 삭제</t>
        </is>
      </c>
      <c r="D25" s="5" t="inlineStr">
        <is>
          <t>답장 메일 10건에서 이전 본문이 남는지</t>
        </is>
      </c>
      <c r="E25" s="6" t="inlineStr"/>
      <c r="F25" s="18" t="inlineStr">
        <is>
          <t>미확인</t>
        </is>
      </c>
      <c r="G25" s="6" t="inlineStr"/>
    </row>
    <row r="26">
      <c r="A26" s="19" t="inlineStr">
        <is>
          <t>메일</t>
        </is>
      </c>
      <c r="B26" s="5" t="inlineStr">
        <is>
          <t>서명 · 면책 제거</t>
        </is>
      </c>
      <c r="C26" s="5" t="inlineStr">
        <is>
          <t>서명 블록(이름 · 직급 · 연락처), "본 메일은 … 기밀" 문구</t>
        </is>
      </c>
      <c r="D26" s="5" t="inlineStr">
        <is>
          <t>서명이 청크마다 반복되는지</t>
        </is>
      </c>
      <c r="E26" s="6" t="inlineStr"/>
      <c r="F26" s="18" t="inlineStr">
        <is>
          <t>미확인</t>
        </is>
      </c>
      <c r="G26" s="6" t="inlineStr"/>
    </row>
    <row r="27">
      <c r="A27" s="19" t="inlineStr">
        <is>
          <t>메일</t>
        </is>
      </c>
      <c r="B27" s="5" t="inlineStr">
        <is>
          <t>분기 — 첨부</t>
        </is>
      </c>
      <c r="C27" s="5" t="inlineStr">
        <is>
          <t>첨부 파일은 별도 문서로 떼어 해당 계열(PDF · 오피스)로 보냄, 부모 메일 doc id 연결</t>
        </is>
      </c>
      <c r="D27" s="5" t="inlineStr">
        <is>
          <t>첨부가 본문 텍스트에 섞여 들어오는지</t>
        </is>
      </c>
      <c r="E27" s="6" t="inlineStr"/>
      <c r="F27" s="18" t="inlineStr">
        <is>
          <t>미확인</t>
        </is>
      </c>
      <c r="G27" s="6" t="inlineStr"/>
    </row>
    <row r="28">
      <c r="A28" s="19" t="inlineStr">
        <is>
          <t>메일</t>
        </is>
      </c>
      <c r="B28" s="5" t="inlineStr">
        <is>
          <t>청킹 · ACL</t>
        </is>
      </c>
      <c r="C28" s="5" t="inlineStr">
        <is>
          <t>스레드 단위, 새로 쓴 내용만 시간순. ACL = 발신자 + 수신자 + 참조</t>
        </is>
      </c>
      <c r="D28" s="5" t="inlineStr">
        <is>
          <t>권한 없는 계정으로 검색해 노출 0건</t>
        </is>
      </c>
      <c r="E28" s="6" t="inlineStr"/>
      <c r="F28" s="18" t="inlineStr">
        <is>
          <t>미확인</t>
        </is>
      </c>
      <c r="G28" s="6" t="inlineStr"/>
    </row>
    <row r="29">
      <c r="A29" s="19" t="inlineStr">
        <is>
          <t>회의록</t>
        </is>
      </c>
      <c r="B29" s="5" t="inlineStr">
        <is>
          <t>양식 인식</t>
        </is>
      </c>
      <c r="C29" s="5" t="inlineStr">
        <is>
          <t>회의록 양식이 몇 종인지 먼저 파악, 양식별 필드 위치</t>
        </is>
      </c>
      <c r="D29" s="5" t="inlineStr">
        <is>
          <t>양식 종류 수, 양식 없는 자유 서식 비율</t>
        </is>
      </c>
      <c r="E29" s="6" t="inlineStr"/>
      <c r="F29" s="18" t="inlineStr">
        <is>
          <t>미확인</t>
        </is>
      </c>
      <c r="G29" s="6" t="inlineStr"/>
    </row>
    <row r="30">
      <c r="A30" s="19" t="inlineStr">
        <is>
          <t>회의록</t>
        </is>
      </c>
      <c r="B30" s="5" t="inlineStr">
        <is>
          <t>필드 추출</t>
        </is>
      </c>
      <c r="C30" s="5" t="inlineStr">
        <is>
          <t>결정 사항 · 액션 아이템(담당 · 기한)을 JSON으로도 저장</t>
        </is>
      </c>
      <c r="D30" s="5" t="inlineStr">
        <is>
          <t>SM03 액션 아이템 질문으로 확인</t>
        </is>
      </c>
      <c r="E30" s="6" t="inlineStr"/>
      <c r="F30" s="18" t="inlineStr">
        <is>
          <t>미확인</t>
        </is>
      </c>
      <c r="G30" s="6" t="inlineStr"/>
    </row>
    <row r="31">
      <c r="A31" s="19" t="inlineStr">
        <is>
          <t>회의록</t>
        </is>
      </c>
      <c r="B31" s="5" t="inlineStr">
        <is>
          <t>안건 분할</t>
        </is>
      </c>
      <c r="C31" s="5" t="inlineStr">
        <is>
          <t>안건 번호 · 제목 기준</t>
        </is>
      </c>
      <c r="D31" s="5" t="inlineStr">
        <is>
          <t>안건이 섞여 한 청크에 들어가는지</t>
        </is>
      </c>
      <c r="E31" s="6" t="inlineStr"/>
      <c r="F31" s="18" t="inlineStr">
        <is>
          <t>미확인</t>
        </is>
      </c>
      <c r="G31" s="6" t="inlineStr"/>
    </row>
    <row r="32">
      <c r="A32" s="19" t="inlineStr">
        <is>
          <t>회의록</t>
        </is>
      </c>
      <c r="B32" s="5" t="inlineStr">
        <is>
          <t>메타 · ACL</t>
        </is>
      </c>
      <c r="C32" s="5" t="inlineStr">
        <is>
          <t>회의일 · 주관 부서 · 참석자 · 프로젝트 코드, ACL = 참석자 + 주관 부서</t>
        </is>
      </c>
      <c r="D32" s="5" t="inlineStr">
        <is>
          <t>—</t>
        </is>
      </c>
      <c r="E32" s="6" t="inlineStr"/>
      <c r="F32" s="18" t="inlineStr">
        <is>
          <t>미확인</t>
        </is>
      </c>
      <c r="G32" s="6" t="inlineStr"/>
    </row>
    <row r="33">
      <c r="A33" s="19" t="inlineStr">
        <is>
          <t>사내 보고서</t>
        </is>
      </c>
      <c r="B33" s="5" t="inlineStr">
        <is>
          <t>버전 판정</t>
        </is>
      </c>
      <c r="C33" s="5" t="inlineStr">
        <is>
          <t>같은 제목의 v0.9 · v1.0 · 최종 중 결재 완료본만 적재, 나머지는 제외</t>
        </is>
      </c>
      <c r="D33" s="5" t="inlineStr">
        <is>
          <t>같은 보고서가 여러 버전으로 검색되는지</t>
        </is>
      </c>
      <c r="E33" s="6" t="inlineStr"/>
      <c r="F33" s="18" t="inlineStr">
        <is>
          <t>미확인</t>
        </is>
      </c>
      <c r="G33" s="6" t="inlineStr"/>
    </row>
    <row r="34">
      <c r="A34" s="19" t="inlineStr">
        <is>
          <t>사내 보고서</t>
        </is>
      </c>
      <c r="B34" s="5" t="inlineStr">
        <is>
          <t>분기 — PPT</t>
        </is>
      </c>
      <c r="C34" s="5" t="inlineStr">
        <is>
          <t>슬라이드마다 제목 + 본문 + 표, 발표자 노트는 선택</t>
        </is>
      </c>
      <c r="D34" s="5" t="inlineStr">
        <is>
          <t>도형 안 텍스트 · 표가 빠지는지</t>
        </is>
      </c>
      <c r="E34" s="6" t="inlineStr"/>
      <c r="F34" s="18" t="inlineStr">
        <is>
          <t>미확인</t>
        </is>
      </c>
      <c r="G34" s="6" t="inlineStr"/>
    </row>
    <row r="35">
      <c r="A35" s="19" t="inlineStr">
        <is>
          <t>사내 보고서</t>
        </is>
      </c>
      <c r="B35" s="5" t="inlineStr">
        <is>
          <t>분기 — Excel</t>
        </is>
      </c>
      <c r="C35" s="5" t="inlineStr">
        <is>
          <t>시트별 표를 그대로 넣지 말고 "표 제목 + 머리행 + 요약 행"으로</t>
        </is>
      </c>
      <c r="D35" s="5" t="inlineStr">
        <is>
          <t>큰 표가 수천 토큰 청크가 되는지</t>
        </is>
      </c>
      <c r="E35" s="6" t="inlineStr"/>
      <c r="F35" s="18" t="inlineStr">
        <is>
          <t>미확인</t>
        </is>
      </c>
      <c r="G35" s="6" t="inlineStr"/>
    </row>
    <row r="36">
      <c r="A36" s="19" t="inlineStr">
        <is>
          <t>사내 보고서</t>
        </is>
      </c>
      <c r="B36" s="5" t="inlineStr">
        <is>
          <t>정제</t>
        </is>
      </c>
      <c r="C36" s="5" t="inlineStr">
        <is>
          <t>표지, 목차, 간지, 빈 슬라이드</t>
        </is>
      </c>
      <c r="D36" s="5" t="inlineStr">
        <is>
          <t>—</t>
        </is>
      </c>
      <c r="E36" s="6" t="inlineStr"/>
      <c r="F36" s="18" t="inlineStr">
        <is>
          <t>미확인</t>
        </is>
      </c>
      <c r="G36" s="6" t="inlineStr"/>
    </row>
    <row r="37">
      <c r="A37" s="19" t="inlineStr">
        <is>
          <t>사내 보고서</t>
        </is>
      </c>
      <c r="B37" s="5" t="inlineStr">
        <is>
          <t>메타 · ACL</t>
        </is>
      </c>
      <c r="C37" s="5" t="inlineStr">
        <is>
          <t>작성일 · 부서 · 작성자 · 버전 · 보안등급(공통 컬럼)</t>
        </is>
      </c>
      <c r="D37" s="5" t="inlineStr">
        <is>
          <t>보안등급 누락 0건</t>
        </is>
      </c>
      <c r="E37" s="6" t="inlineStr"/>
      <c r="F37" s="18" t="inlineStr">
        <is>
          <t>미확인</t>
        </is>
      </c>
      <c r="G37" s="6" t="inlineStr"/>
    </row>
    <row r="38">
      <c r="A38" s="19" t="inlineStr">
        <is>
          <t>지식문서</t>
        </is>
      </c>
      <c r="B38" s="5" t="inlineStr">
        <is>
          <t>구조 보존</t>
        </is>
      </c>
      <c r="C38" s="5" t="inlineStr">
        <is>
          <t>HTML 태그를 Markdown으로 (헤딩 · 목록 · 표 유지)</t>
        </is>
      </c>
      <c r="D38" s="5" t="inlineStr">
        <is>
          <t>태그를 그냥 지우면 목록 · 표가 한 줄로 뭉개짐</t>
        </is>
      </c>
      <c r="E38" s="6" t="inlineStr"/>
      <c r="F38" s="18" t="inlineStr">
        <is>
          <t>미확인</t>
        </is>
      </c>
      <c r="G38" s="6" t="inlineStr"/>
    </row>
    <row r="39">
      <c r="A39" s="19" t="inlineStr">
        <is>
          <t>지식문서</t>
        </is>
      </c>
      <c r="B39" s="5" t="inlineStr">
        <is>
          <t>제거</t>
        </is>
      </c>
      <c r="C39" s="5" t="inlineStr">
        <is>
          <t>사이드 메뉴, 푸터, 댓글, "이 문서를 편집" 류 UI 문구</t>
        </is>
      </c>
      <c r="D39" s="5" t="inlineStr">
        <is>
          <t>—</t>
        </is>
      </c>
      <c r="E39" s="6" t="inlineStr"/>
      <c r="F39" s="18" t="inlineStr">
        <is>
          <t>미확인</t>
        </is>
      </c>
      <c r="G39" s="6" t="inlineStr"/>
    </row>
    <row r="40">
      <c r="A40" s="19" t="inlineStr">
        <is>
          <t>지식문서</t>
        </is>
      </c>
      <c r="B40" s="5" t="inlineStr">
        <is>
          <t>최신본 판정</t>
        </is>
      </c>
      <c r="C40" s="5" t="inlineStr">
        <is>
          <t>같은 문서의 이전 판은 삭제 반영, 최종 수정일을 날짜로 사용</t>
        </is>
      </c>
      <c r="D40" s="5" t="inlineStr">
        <is>
          <t>구버전이 함께 검색되는지</t>
        </is>
      </c>
      <c r="E40" s="6" t="inlineStr"/>
      <c r="F40" s="18" t="inlineStr">
        <is>
          <t>미확인</t>
        </is>
      </c>
      <c r="G40" s="6" t="inlineStr"/>
    </row>
    <row r="41">
      <c r="A41" s="19" t="inlineStr">
        <is>
          <t>지식문서</t>
        </is>
      </c>
      <c r="B41" s="5" t="inlineStr">
        <is>
          <t>청킹</t>
        </is>
      </c>
      <c r="C41" s="5" t="inlineStr">
        <is>
          <t>헤딩 기반, 짧은 섹션은 병합</t>
        </is>
      </c>
      <c r="D41" s="5" t="inlineStr">
        <is>
          <t>—</t>
        </is>
      </c>
      <c r="E41" s="6" t="inlineStr"/>
      <c r="F41" s="18" t="inlineStr">
        <is>
          <t>미확인</t>
        </is>
      </c>
      <c r="G41" s="6" t="inlineStr"/>
    </row>
    <row r="42">
      <c r="A42" s="19" t="inlineStr">
        <is>
          <t>엔지니어 보고서</t>
        </is>
      </c>
      <c r="B42" s="5" t="inlineStr">
        <is>
          <t>레이아웃 파싱</t>
        </is>
      </c>
      <c r="C42" s="5" t="inlineStr">
        <is>
          <t>증권사 PDF와 같은 파서 사용 (계열 공유)</t>
        </is>
      </c>
      <c r="D42" s="5" t="inlineStr">
        <is>
          <t>—</t>
        </is>
      </c>
      <c r="E42" s="6" t="inlineStr"/>
      <c r="F42" s="18" t="inlineStr">
        <is>
          <t>미확인</t>
        </is>
      </c>
      <c r="G42" s="6" t="inlineStr"/>
    </row>
    <row r="43">
      <c r="A43" s="19" t="inlineStr">
        <is>
          <t>엔지니어 보고서</t>
        </is>
      </c>
      <c r="B43" s="5" t="inlineStr">
        <is>
          <t>분기 — 측정 표</t>
        </is>
      </c>
      <c r="C43" s="5" t="inlineStr">
        <is>
          <t>측정 조건 · 단위를 표 위에 부착</t>
        </is>
      </c>
      <c r="D43" s="5" t="inlineStr">
        <is>
          <t>수치 질문 정답률</t>
        </is>
      </c>
      <c r="E43" s="6" t="inlineStr"/>
      <c r="F43" s="18" t="inlineStr">
        <is>
          <t>미확인</t>
        </is>
      </c>
      <c r="G43" s="6" t="inlineStr"/>
    </row>
    <row r="44">
      <c r="A44" s="19" t="inlineStr">
        <is>
          <t>엔지니어 보고서</t>
        </is>
      </c>
      <c r="B44" s="5" t="inlineStr">
        <is>
          <t>약어 풀이</t>
        </is>
      </c>
      <c r="C44" s="5" t="inlineStr">
        <is>
          <t>공정 · 설비 약어 사전으로 헤더나 메타에 풀이를 덧붙임 (본문은 그대로)</t>
        </is>
      </c>
      <c r="D44" s="5" t="inlineStr">
        <is>
          <t>약어로만 쓰인 문서가 일반어 질문에 걸리는지</t>
        </is>
      </c>
      <c r="E44" s="6" t="inlineStr"/>
      <c r="F44" s="18" t="inlineStr">
        <is>
          <t>미확인</t>
        </is>
      </c>
      <c r="G44" s="6" t="inlineStr"/>
    </row>
    <row r="45">
      <c r="A45" s="19" t="inlineStr">
        <is>
          <t>엔지니어 보고서</t>
        </is>
      </c>
      <c r="B45" s="5" t="inlineStr">
        <is>
          <t>메타 · ACL</t>
        </is>
      </c>
      <c r="C45" s="5" t="inlineStr">
        <is>
          <t>공정 · 제품 · Fab · 테스트 항목, ACL = 부서 · 과제 그룹</t>
        </is>
      </c>
      <c r="D45" s="5" t="inlineStr">
        <is>
          <t>—</t>
        </is>
      </c>
      <c r="E45" s="6" t="inlineStr"/>
      <c r="F45" s="18" t="inlineStr">
        <is>
          <t>미확인</t>
        </is>
      </c>
      <c r="G45" s="6" t="inlineStr"/>
    </row>
    <row r="46">
      <c r="A46" s="19" t="inlineStr">
        <is>
          <t>임원 보고서</t>
        </is>
      </c>
      <c r="B46" s="5" t="inlineStr">
        <is>
          <t>최종본 판정</t>
        </is>
      </c>
      <c r="C46" s="5" t="inlineStr">
        <is>
          <t>실제 보고된 판만 적재</t>
        </is>
      </c>
      <c r="D46" s="5" t="inlineStr">
        <is>
          <t>—</t>
        </is>
      </c>
      <c r="E46" s="6" t="inlineStr"/>
      <c r="F46" s="18" t="inlineStr">
        <is>
          <t>미확인</t>
        </is>
      </c>
      <c r="G46" s="6" t="inlineStr"/>
    </row>
    <row r="47">
      <c r="A47" s="19" t="inlineStr">
        <is>
          <t>임원 보고서</t>
        </is>
      </c>
      <c r="B47" s="5" t="inlineStr">
        <is>
          <t>요약 우선</t>
        </is>
      </c>
      <c r="C47" s="5" t="inlineStr">
        <is>
          <t>요약 · 결론 슬라이드에 표시를 달아 리랭크 · 컨텍스트에서 우선</t>
        </is>
      </c>
      <c r="D47" s="5" t="inlineStr">
        <is>
          <t>—</t>
        </is>
      </c>
      <c r="E47" s="6" t="inlineStr"/>
      <c r="F47" s="18" t="inlineStr">
        <is>
          <t>미확인</t>
        </is>
      </c>
      <c r="G47" s="6" t="inlineStr"/>
    </row>
    <row r="48">
      <c r="A48" s="19" t="inlineStr">
        <is>
          <t>임원 보고서</t>
        </is>
      </c>
      <c r="B48" s="5" t="inlineStr">
        <is>
          <t>ACL</t>
        </is>
      </c>
      <c r="C48" s="5" t="inlineStr">
        <is>
          <t>보안등급 3 고정, ACL = 결재선 + 지정 그룹. 적재 직후 누출 테스트</t>
        </is>
      </c>
      <c r="D48" s="5" t="inlineStr">
        <is>
          <t>권한 없는 계정으로 SM04 · SM16 → "자료 없음"</t>
        </is>
      </c>
      <c r="E48" s="6" t="inlineStr"/>
      <c r="F48" s="18" t="inlineStr">
        <is>
          <t>미확인</t>
        </is>
      </c>
      <c r="G48" s="6" t="inlineStr"/>
    </row>
  </sheetData>
  <autoFilter ref="A4:G48"/>
  <mergeCells count="2">
    <mergeCell ref="A2:G2"/>
    <mergeCell ref="A1:G1"/>
  </mergeCells>
  <conditionalFormatting sqref="F5:F48">
    <cfRule type="cellIs" priority="1" operator="equal" dxfId="2">
      <formula>"완료"</formula>
    </cfRule>
    <cfRule type="cellIs" priority="2" operator="equal" dxfId="3">
      <formula>"확인중"</formula>
    </cfRule>
    <cfRule type="cellIs" priority="3" operator="equal" dxfId="4">
      <formula>"해당없음"</formula>
    </cfRule>
  </conditionalFormatting>
  <dataValidations count="1">
    <dataValidation sqref="F5:F48" showDropDown="0" showInputMessage="0" showErrorMessage="0" allowBlank="1" type="list">
      <formula1>"미확인,확인중,완료,해당없음"</formula1>
    </dataValidation>
  </dataValidation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21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6" customWidth="1" min="3" max="3"/>
    <col width="40" customWidth="1" min="4" max="4"/>
    <col width="30" customWidth="1" min="5" max="5"/>
    <col width="38" customWidth="1" min="6" max="6"/>
    <col width="6" customWidth="1" min="7" max="7"/>
    <col width="9" customWidth="1" min="8" max="8"/>
    <col width="24" customWidth="1" min="9" max="9"/>
  </cols>
  <sheetData>
    <row r="1">
      <c r="A1" s="1" t="inlineStr">
        <is>
          <t>Phase 1 · 적재 공통 — 모든 소스에 해당 (소스별 차이는 소스별_상세)</t>
        </is>
      </c>
    </row>
    <row r="2">
      <c r="A2" s="2" t="inlineStr">
        <is>
          <t>연노랑 칸(현 수준 · 상태 · 메모)만 입력</t>
        </is>
      </c>
    </row>
    <row r="4">
      <c r="A4" s="3" t="inlineStr">
        <is>
          <t>단계</t>
        </is>
      </c>
      <c r="B4" s="3" t="inlineStr">
        <is>
          <t>단계명</t>
        </is>
      </c>
      <c r="C4" s="3" t="inlineStr">
        <is>
          <t>No</t>
        </is>
      </c>
      <c r="D4" s="3" t="inlineStr">
        <is>
          <t>체크 항목</t>
        </is>
      </c>
      <c r="E4" s="3" t="inlineStr">
        <is>
          <t>현 수준</t>
        </is>
      </c>
      <c r="F4" s="3" t="inlineStr">
        <is>
          <t>개선 방향</t>
        </is>
      </c>
      <c r="G4" s="3" t="inlineStr">
        <is>
          <t>우선</t>
        </is>
      </c>
      <c r="H4" s="3" t="inlineStr">
        <is>
          <t>상태</t>
        </is>
      </c>
      <c r="I4" s="3" t="inlineStr">
        <is>
          <t>메모</t>
        </is>
      </c>
    </row>
    <row r="5">
      <c r="A5" s="37" t="inlineStr">
        <is>
          <t>S01</t>
        </is>
      </c>
      <c r="B5" s="17" t="inlineStr">
        <is>
          <t>수집</t>
        </is>
      </c>
      <c r="C5" s="17" t="inlineStr">
        <is>
          <t>01-1</t>
        </is>
      </c>
      <c r="D5" s="5" t="inlineStr">
        <is>
          <t>원천 키 유일 · 재수집 중복 체크</t>
        </is>
      </c>
      <c r="E5" s="6" t="inlineStr">
        <is>
          <t>doc id 있음, 재수집 시 중복 체크 중</t>
        </is>
      </c>
      <c r="F5" s="5" t="inlineStr">
        <is>
          <t>—</t>
        </is>
      </c>
      <c r="G5" s="17" t="inlineStr">
        <is>
          <t>P0</t>
        </is>
      </c>
      <c r="H5" s="18" t="inlineStr">
        <is>
          <t>완료</t>
        </is>
      </c>
      <c r="I5" s="6" t="inlineStr"/>
    </row>
    <row r="6">
      <c r="A6" s="37" t="inlineStr">
        <is>
          <t>S01</t>
        </is>
      </c>
      <c r="B6" s="17" t="inlineStr">
        <is>
          <t>수집</t>
        </is>
      </c>
      <c r="C6" s="17" t="inlineStr">
        <is>
          <t>01-2</t>
        </is>
      </c>
      <c r="D6" s="5" t="inlineStr">
        <is>
          <t>작성일 · 수집일 분리, 날짜 누락률</t>
        </is>
      </c>
      <c r="E6" s="6" t="inlineStr">
        <is>
          <t>분리 저장, 날짜 95% 보유</t>
        </is>
      </c>
      <c r="F6" s="5" t="inlineStr">
        <is>
          <t>누락 5%가 몰린 소스만 확인</t>
        </is>
      </c>
      <c r="G6" s="17" t="inlineStr">
        <is>
          <t>P2</t>
        </is>
      </c>
      <c r="H6" s="18" t="inlineStr">
        <is>
          <t>완료</t>
        </is>
      </c>
      <c r="I6" s="6" t="inlineStr"/>
    </row>
    <row r="7">
      <c r="A7" s="37" t="inlineStr">
        <is>
          <t>S01</t>
        </is>
      </c>
      <c r="B7" s="17" t="inlineStr">
        <is>
          <t>수집</t>
        </is>
      </c>
      <c r="C7" s="17" t="inlineStr">
        <is>
          <t>01-3</t>
        </is>
      </c>
      <c r="D7" s="5" t="inlineStr">
        <is>
          <t>중복 수집 (뉴스 재송고 · 메일 인용)</t>
        </is>
      </c>
      <c r="E7" s="6" t="inlineStr"/>
      <c r="F7" s="5" t="inlineStr">
        <is>
          <t>해시 → 근사 중복(MinHash)</t>
        </is>
      </c>
      <c r="G7" s="17" t="inlineStr">
        <is>
          <t>P1</t>
        </is>
      </c>
      <c r="H7" s="18" t="inlineStr">
        <is>
          <t>미확인</t>
        </is>
      </c>
      <c r="I7" s="6" t="inlineStr"/>
    </row>
    <row r="8">
      <c r="A8" s="37" t="inlineStr">
        <is>
          <t>S02</t>
        </is>
      </c>
      <c r="B8" s="17" t="inlineStr">
        <is>
          <t>파싱</t>
        </is>
      </c>
      <c r="C8" s="17" t="inlineStr">
        <is>
          <t>02-1</t>
        </is>
      </c>
      <c r="D8" s="5" t="inlineStr">
        <is>
          <t>증권사 PDF 표 · 수치 보존</t>
        </is>
      </c>
      <c r="E8" s="6" t="inlineStr"/>
      <c r="F8" s="5" t="inlineStr">
        <is>
          <t>표는 별도 청크, 파서 교체 검토</t>
        </is>
      </c>
      <c r="G8" s="17" t="inlineStr">
        <is>
          <t>P1</t>
        </is>
      </c>
      <c r="H8" s="18" t="inlineStr">
        <is>
          <t>미확인</t>
        </is>
      </c>
      <c r="I8" s="6" t="inlineStr"/>
    </row>
    <row r="9">
      <c r="A9" s="37" t="inlineStr">
        <is>
          <t>S02</t>
        </is>
      </c>
      <c r="B9" s="17" t="inlineStr">
        <is>
          <t>파싱</t>
        </is>
      </c>
      <c r="C9" s="17" t="inlineStr">
        <is>
          <t>02-2</t>
        </is>
      </c>
      <c r="D9" s="5" t="inlineStr">
        <is>
          <t>메일 인용 · 서명 제거</t>
        </is>
      </c>
      <c r="E9" s="6" t="inlineStr"/>
      <c r="F9" s="5" t="inlineStr">
        <is>
          <t>메일 정제 규칙</t>
        </is>
      </c>
      <c r="G9" s="17" t="inlineStr">
        <is>
          <t>P1</t>
        </is>
      </c>
      <c r="H9" s="18" t="inlineStr">
        <is>
          <t>미확인</t>
        </is>
      </c>
      <c r="I9" s="6" t="inlineStr"/>
    </row>
    <row r="10">
      <c r="A10" s="37" t="inlineStr">
        <is>
          <t>S03</t>
        </is>
      </c>
      <c r="B10" s="17" t="inlineStr">
        <is>
          <t>청킹</t>
        </is>
      </c>
      <c r="C10" s="17" t="inlineStr">
        <is>
          <t>03-1</t>
        </is>
      </c>
      <c r="D10" s="5" t="inlineStr">
        <is>
          <t>분할 방식 · 크기 · 오버랩</t>
        </is>
      </c>
      <c r="E10" s="6" t="inlineStr"/>
      <c r="F10" s="5" t="inlineStr">
        <is>
          <t>문서 유형별 규칙 (뉴스=기사, 리포트=섹션·표)</t>
        </is>
      </c>
      <c r="G10" s="17" t="inlineStr">
        <is>
          <t>P0</t>
        </is>
      </c>
      <c r="H10" s="18" t="inlineStr">
        <is>
          <t>미확인</t>
        </is>
      </c>
      <c r="I10" s="6" t="inlineStr"/>
    </row>
    <row r="11">
      <c r="A11" s="37" t="inlineStr">
        <is>
          <t>S03</t>
        </is>
      </c>
      <c r="B11" s="17" t="inlineStr">
        <is>
          <t>청킹</t>
        </is>
      </c>
      <c r="C11" s="17" t="inlineStr">
        <is>
          <t>03-2</t>
        </is>
      </c>
      <c r="D11" s="5" t="inlineStr">
        <is>
          <t>문장 잘림 · 표 깨짐 (샘플 20)</t>
        </is>
      </c>
      <c r="E11" s="6" t="inlineStr"/>
      <c r="F11" s="5" t="inlineStr">
        <is>
          <t>구조 기반 분할</t>
        </is>
      </c>
      <c r="G11" s="17" t="inlineStr">
        <is>
          <t>P0</t>
        </is>
      </c>
      <c r="H11" s="18" t="inlineStr">
        <is>
          <t>미확인</t>
        </is>
      </c>
      <c r="I11" s="6" t="inlineStr"/>
    </row>
    <row r="12">
      <c r="A12" s="37" t="inlineStr">
        <is>
          <t>S03</t>
        </is>
      </c>
      <c r="B12" s="17" t="inlineStr">
        <is>
          <t>청킹</t>
        </is>
      </c>
      <c r="C12" s="17" t="inlineStr">
        <is>
          <t>03-3</t>
        </is>
      </c>
      <c r="D12" s="5" t="inlineStr">
        <is>
          <t>청크 헤더 [유형|날짜|기관|제목]</t>
        </is>
      </c>
      <c r="E12" s="6" t="inlineStr"/>
      <c r="F12" s="5" t="inlineStr">
        <is>
          <t>HEADER_TEXT 별도 컬럼</t>
        </is>
      </c>
      <c r="G12" s="17" t="inlineStr">
        <is>
          <t>P0</t>
        </is>
      </c>
      <c r="H12" s="18" t="inlineStr">
        <is>
          <t>미확인</t>
        </is>
      </c>
      <c r="I12" s="6" t="inlineStr"/>
    </row>
    <row r="13">
      <c r="A13" s="37" t="inlineStr">
        <is>
          <t>S04</t>
        </is>
      </c>
      <c r="B13" s="17" t="inlineStr">
        <is>
          <t>임베딩</t>
        </is>
      </c>
      <c r="C13" s="17" t="inlineStr">
        <is>
          <t>04-1</t>
        </is>
      </c>
      <c r="D13" s="5" t="inlineStr">
        <is>
          <t>BGE-M3 max_length 잘림 여부</t>
        </is>
      </c>
      <c r="E13" s="6" t="inlineStr"/>
      <c r="F13" s="5" t="inlineStr">
        <is>
          <t>잘림 0건</t>
        </is>
      </c>
      <c r="G13" s="17" t="inlineStr">
        <is>
          <t>P0</t>
        </is>
      </c>
      <c r="H13" s="18" t="inlineStr">
        <is>
          <t>미확인</t>
        </is>
      </c>
      <c r="I13" s="6" t="inlineStr"/>
    </row>
    <row r="14">
      <c r="A14" s="37" t="inlineStr">
        <is>
          <t>S04</t>
        </is>
      </c>
      <c r="B14" s="17" t="inlineStr">
        <is>
          <t>임베딩</t>
        </is>
      </c>
      <c r="C14" s="17" t="inlineStr">
        <is>
          <t>04-2</t>
        </is>
      </c>
      <c r="D14" s="5" t="inlineStr">
        <is>
          <t>dense만? sparse도?</t>
        </is>
      </c>
      <c r="E14" s="6" t="inlineStr"/>
      <c r="F14" s="5" t="inlineStr">
        <is>
          <t>dense + sparse 동시 생성</t>
        </is>
      </c>
      <c r="G14" s="17" t="inlineStr">
        <is>
          <t>P0</t>
        </is>
      </c>
      <c r="H14" s="18" t="inlineStr">
        <is>
          <t>미확인</t>
        </is>
      </c>
      <c r="I14" s="6" t="inlineStr"/>
    </row>
    <row r="15">
      <c r="A15" s="37" t="inlineStr">
        <is>
          <t>S04</t>
        </is>
      </c>
      <c r="B15" s="17" t="inlineStr">
        <is>
          <t>임베딩</t>
        </is>
      </c>
      <c r="C15" s="17" t="inlineStr">
        <is>
          <t>04-3</t>
        </is>
      </c>
      <c r="D15" s="5" t="inlineStr">
        <is>
          <t>입력 구성</t>
        </is>
      </c>
      <c r="E15" s="6" t="inlineStr"/>
      <c r="F15" s="5" t="inlineStr">
        <is>
          <t>dense=헤더+본문, sparse=본문만</t>
        </is>
      </c>
      <c r="G15" s="17" t="inlineStr">
        <is>
          <t>P1</t>
        </is>
      </c>
      <c r="H15" s="18" t="inlineStr">
        <is>
          <t>미확인</t>
        </is>
      </c>
      <c r="I15" s="6" t="inlineStr"/>
    </row>
    <row r="16">
      <c r="A16" s="37" t="inlineStr">
        <is>
          <t>S05</t>
        </is>
      </c>
      <c r="B16" s="17" t="inlineStr">
        <is>
          <t>메타데이터</t>
        </is>
      </c>
      <c r="C16" s="17" t="inlineStr">
        <is>
          <t>05-1</t>
        </is>
      </c>
      <c r="D16" s="5" t="inlineStr">
        <is>
          <t>공통 컬럼 (유형 · 날짜 · 기관 · 보안등급)</t>
        </is>
      </c>
      <c r="E16" s="6" t="inlineStr"/>
      <c r="F16" s="5" t="inlineStr">
        <is>
          <t>필터에 쓰는 값은 공통 컬럼으로</t>
        </is>
      </c>
      <c r="G16" s="17" t="inlineStr">
        <is>
          <t>P0</t>
        </is>
      </c>
      <c r="H16" s="18" t="inlineStr">
        <is>
          <t>미확인</t>
        </is>
      </c>
      <c r="I16" s="6" t="inlineStr"/>
    </row>
    <row r="17">
      <c r="A17" s="37" t="inlineStr">
        <is>
          <t>S05</t>
        </is>
      </c>
      <c r="B17" s="17" t="inlineStr">
        <is>
          <t>메타데이터</t>
        </is>
      </c>
      <c r="C17" s="17" t="inlineStr">
        <is>
          <t>05-2</t>
        </is>
      </c>
      <c r="D17" s="5" t="inlineStr">
        <is>
          <t>권한 원천 (메일 수신자 · 임원 결재선)</t>
        </is>
      </c>
      <c r="E17" s="6" t="inlineStr"/>
      <c r="F17" s="5" t="inlineStr">
        <is>
          <t>ACL 테이블, 어려우면 보안등급만 1차</t>
        </is>
      </c>
      <c r="G17" s="17" t="inlineStr">
        <is>
          <t>P0</t>
        </is>
      </c>
      <c r="H17" s="18" t="inlineStr">
        <is>
          <t>미확인</t>
        </is>
      </c>
      <c r="I17" s="6" t="inlineStr"/>
    </row>
    <row r="18">
      <c r="A18" s="37" t="inlineStr">
        <is>
          <t>S05</t>
        </is>
      </c>
      <c r="B18" s="17" t="inlineStr">
        <is>
          <t>메타데이터</t>
        </is>
      </c>
      <c r="C18" s="17" t="inlineStr">
        <is>
          <t>05-3</t>
        </is>
      </c>
      <c r="D18" s="5" t="inlineStr">
        <is>
          <t>회사 · 제품 · 주제 태그</t>
        </is>
      </c>
      <c r="E18" s="6" t="inlineStr"/>
      <c r="F18" s="5" t="inlineStr">
        <is>
          <t>사내 LLM 추출 — Phase 2 기반</t>
        </is>
      </c>
      <c r="G18" s="17" t="inlineStr">
        <is>
          <t>P1</t>
        </is>
      </c>
      <c r="H18" s="18" t="inlineStr">
        <is>
          <t>미확인</t>
        </is>
      </c>
      <c r="I18" s="6" t="inlineStr"/>
    </row>
    <row r="19">
      <c r="A19" s="37" t="inlineStr">
        <is>
          <t>S06</t>
        </is>
      </c>
      <c r="B19" s="17" t="inlineStr">
        <is>
          <t>벡터 DB</t>
        </is>
      </c>
      <c r="C19" s="17" t="inlineStr">
        <is>
          <t>06-1</t>
        </is>
      </c>
      <c r="D19" s="5" t="inlineStr">
        <is>
          <t>Milvus 버전</t>
        </is>
      </c>
      <c r="E19" s="6" t="inlineStr"/>
      <c r="F19" s="5" t="inlineStr">
        <is>
          <t>2.4+ (sparse · hybrid), 2.5+ (BM25 내장)</t>
        </is>
      </c>
      <c r="G19" s="17" t="inlineStr">
        <is>
          <t>P0</t>
        </is>
      </c>
      <c r="H19" s="18" t="inlineStr">
        <is>
          <t>미확인</t>
        </is>
      </c>
      <c r="I19" s="6" t="inlineStr"/>
    </row>
    <row r="20">
      <c r="A20" s="37" t="inlineStr">
        <is>
          <t>S06</t>
        </is>
      </c>
      <c r="B20" s="17" t="inlineStr">
        <is>
          <t>벡터 DB</t>
        </is>
      </c>
      <c r="C20" s="17" t="inlineStr">
        <is>
          <t>06-2</t>
        </is>
      </c>
      <c r="D20" s="5" t="inlineStr">
        <is>
          <t>필터 필드가 스칼라로 있는지</t>
        </is>
      </c>
      <c r="E20" s="6" t="inlineStr"/>
      <c r="F20" s="5" t="inlineStr">
        <is>
          <t>유형 · 날짜 · 권한 · 기관 복제</t>
        </is>
      </c>
      <c r="G20" s="17" t="inlineStr">
        <is>
          <t>P0</t>
        </is>
      </c>
      <c r="H20" s="18" t="inlineStr">
        <is>
          <t>미확인</t>
        </is>
      </c>
      <c r="I20" s="6" t="inlineStr"/>
    </row>
    <row r="21">
      <c r="A21" s="37" t="inlineStr">
        <is>
          <t>S06</t>
        </is>
      </c>
      <c r="B21" s="17" t="inlineStr">
        <is>
          <t>벡터 DB</t>
        </is>
      </c>
      <c r="C21" s="17" t="inlineStr">
        <is>
          <t>06-3</t>
        </is>
      </c>
      <c r="D21" s="5" t="inlineStr">
        <is>
          <t>Oracle 수정 · 삭제 반영</t>
        </is>
      </c>
      <c r="E21" s="6" t="inlineStr"/>
      <c r="F21" s="5" t="inlineStr">
        <is>
          <t>증분 동기화 잡</t>
        </is>
      </c>
      <c r="G21" s="17" t="inlineStr">
        <is>
          <t>P1</t>
        </is>
      </c>
      <c r="H21" s="18" t="inlineStr">
        <is>
          <t>미확인</t>
        </is>
      </c>
      <c r="I21" s="6" t="inlineStr"/>
    </row>
  </sheetData>
  <autoFilter ref="A4:I21"/>
  <mergeCells count="2">
    <mergeCell ref="A1:I1"/>
    <mergeCell ref="A2:I2"/>
  </mergeCells>
  <conditionalFormatting sqref="H5:H21">
    <cfRule type="cellIs" priority="1" operator="equal" dxfId="2">
      <formula>"완료"</formula>
    </cfRule>
    <cfRule type="cellIs" priority="2" operator="equal" dxfId="3">
      <formula>"확인중"</formula>
    </cfRule>
    <cfRule type="cellIs" priority="3" operator="equal" dxfId="4">
      <formula>"해당없음"</formula>
    </cfRule>
  </conditionalFormatting>
  <conditionalFormatting sqref="G5:G21">
    <cfRule type="cellIs" priority="4" operator="equal" dxfId="5">
      <formula>"P0"</formula>
    </cfRule>
    <cfRule type="cellIs" priority="5" operator="equal" dxfId="6">
      <formula>"P1"</formula>
    </cfRule>
    <cfRule type="cellIs" priority="6" operator="equal" dxfId="7">
      <formula>"P2"</formula>
    </cfRule>
  </conditionalFormatting>
  <dataValidations count="2">
    <dataValidation sqref="H5:H21" showDropDown="0" showInputMessage="0" showErrorMessage="0" allowBlank="1" type="list">
      <formula1>"미확인,확인중,완료,해당없음"</formula1>
    </dataValidation>
    <dataValidation sqref="G5:G21" showDropDown="0" showInputMessage="0" showErrorMessage="0" allowBlank="1" type="list">
      <formula1>"P0,P1,P2"</formula1>
    </dataValidation>
  </dataValidation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I27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6" customWidth="1" min="3" max="3"/>
    <col width="40" customWidth="1" min="4" max="4"/>
    <col width="30" customWidth="1" min="5" max="5"/>
    <col width="38" customWidth="1" min="6" max="6"/>
    <col width="6" customWidth="1" min="7" max="7"/>
    <col width="9" customWidth="1" min="8" max="8"/>
    <col width="24" customWidth="1" min="9" max="9"/>
  </cols>
  <sheetData>
    <row r="1">
      <c r="A1" s="1" t="inlineStr">
        <is>
          <t>Phase 1 · 검색 — 질의가 흐르는 순서 (S07 → S15)</t>
        </is>
      </c>
    </row>
    <row r="2">
      <c r="A2" s="2" t="inlineStr">
        <is>
          <t>연노랑 칸(현 수준 · 상태 · 메모)만 입력</t>
        </is>
      </c>
    </row>
    <row r="4">
      <c r="A4" s="3" t="inlineStr">
        <is>
          <t>단계</t>
        </is>
      </c>
      <c r="B4" s="3" t="inlineStr">
        <is>
          <t>단계명</t>
        </is>
      </c>
      <c r="C4" s="3" t="inlineStr">
        <is>
          <t>No</t>
        </is>
      </c>
      <c r="D4" s="3" t="inlineStr">
        <is>
          <t>체크 항목</t>
        </is>
      </c>
      <c r="E4" s="3" t="inlineStr">
        <is>
          <t>현 수준</t>
        </is>
      </c>
      <c r="F4" s="3" t="inlineStr">
        <is>
          <t>개선 방향</t>
        </is>
      </c>
      <c r="G4" s="3" t="inlineStr">
        <is>
          <t>우선</t>
        </is>
      </c>
      <c r="H4" s="3" t="inlineStr">
        <is>
          <t>상태</t>
        </is>
      </c>
      <c r="I4" s="3" t="inlineStr">
        <is>
          <t>메모</t>
        </is>
      </c>
    </row>
    <row r="5">
      <c r="A5" s="37" t="inlineStr">
        <is>
          <t>S07</t>
        </is>
      </c>
      <c r="B5" s="17" t="inlineStr">
        <is>
          <t>질의 입력</t>
        </is>
      </c>
      <c r="C5" s="17" t="inlineStr">
        <is>
          <t>07-1</t>
        </is>
      </c>
      <c r="D5" s="5" t="inlineStr">
        <is>
          <t>실제 질문 20개 스모크 테스트</t>
        </is>
      </c>
      <c r="E5" s="6" t="inlineStr">
        <is>
          <t>문항 작성 완료 (SM01~SM20)</t>
        </is>
      </c>
      <c r="F5" s="5" t="inlineStr">
        <is>
          <t>실패 유형 5종 집계 → 우선순위</t>
        </is>
      </c>
      <c r="G5" s="17" t="inlineStr">
        <is>
          <t>P0</t>
        </is>
      </c>
      <c r="H5" s="18" t="inlineStr">
        <is>
          <t>확인중</t>
        </is>
      </c>
      <c r="I5" s="6" t="inlineStr"/>
    </row>
    <row r="6">
      <c r="A6" s="37" t="inlineStr">
        <is>
          <t>S07</t>
        </is>
      </c>
      <c r="B6" s="17" t="inlineStr">
        <is>
          <t>질의 입력</t>
        </is>
      </c>
      <c r="C6" s="17" t="inlineStr">
        <is>
          <t>07-2</t>
        </is>
      </c>
      <c r="D6" s="5" t="inlineStr">
        <is>
          <t>질의 · 결과 · 답변 로그</t>
        </is>
      </c>
      <c r="E6" s="6" t="inlineStr"/>
      <c r="F6" s="5" t="inlineStr">
        <is>
          <t>Oracle 로그 테이블 3개</t>
        </is>
      </c>
      <c r="G6" s="17" t="inlineStr">
        <is>
          <t>P0</t>
        </is>
      </c>
      <c r="H6" s="18" t="inlineStr">
        <is>
          <t>미확인</t>
        </is>
      </c>
      <c r="I6" s="6" t="inlineStr"/>
    </row>
    <row r="7">
      <c r="A7" s="37" t="inlineStr">
        <is>
          <t>S08</t>
        </is>
      </c>
      <c r="B7" s="17" t="inlineStr">
        <is>
          <t>질의 분석 · 분해</t>
        </is>
      </c>
      <c r="C7" s="17" t="inlineStr">
        <is>
          <t>08-1</t>
        </is>
      </c>
      <c r="D7" s="5" t="inlineStr">
        <is>
          <t>분해 시 고유명사 누락</t>
        </is>
      </c>
      <c r="E7" s="6" t="inlineStr"/>
      <c r="F7" s="5" t="inlineStr">
        <is>
          <t>원 질의도 항상 함께 검색</t>
        </is>
      </c>
      <c r="G7" s="17" t="inlineStr">
        <is>
          <t>P0</t>
        </is>
      </c>
      <c r="H7" s="18" t="inlineStr">
        <is>
          <t>미확인</t>
        </is>
      </c>
      <c r="I7" s="6" t="inlineStr"/>
    </row>
    <row r="8">
      <c r="A8" s="37" t="inlineStr">
        <is>
          <t>S08</t>
        </is>
      </c>
      <c r="B8" s="17" t="inlineStr">
        <is>
          <t>질의 분석 · 분해</t>
        </is>
      </c>
      <c r="C8" s="17" t="inlineStr">
        <is>
          <t>08-2</t>
        </is>
      </c>
      <c r="D8" s="5" t="inlineStr">
        <is>
          <t>"최근 · 3분기" → 날짜 필터</t>
        </is>
      </c>
      <c r="E8" s="6" t="inlineStr"/>
      <c r="F8" s="5" t="inlineStr">
        <is>
          <t>기간 추출 (규칙 우선)</t>
        </is>
      </c>
      <c r="G8" s="17" t="inlineStr">
        <is>
          <t>P0</t>
        </is>
      </c>
      <c r="H8" s="18" t="inlineStr">
        <is>
          <t>미확인</t>
        </is>
      </c>
      <c r="I8" s="6" t="inlineStr"/>
    </row>
    <row r="9">
      <c r="A9" s="37" t="inlineStr">
        <is>
          <t>S08</t>
        </is>
      </c>
      <c r="B9" s="17" t="inlineStr">
        <is>
          <t>질의 분석 · 분해</t>
        </is>
      </c>
      <c r="C9" s="17" t="inlineStr">
        <is>
          <t>08-3</t>
        </is>
      </c>
      <c r="D9" s="5" t="inlineStr">
        <is>
          <t>분해 적용 범위</t>
        </is>
      </c>
      <c r="E9" s="6" t="inlineStr"/>
      <c r="F9" s="5" t="inlineStr">
        <is>
          <t>비교 · 종합형 질문에만</t>
        </is>
      </c>
      <c r="G9" s="17" t="inlineStr">
        <is>
          <t>P1</t>
        </is>
      </c>
      <c r="H9" s="18" t="inlineStr">
        <is>
          <t>미확인</t>
        </is>
      </c>
      <c r="I9" s="6" t="inlineStr"/>
    </row>
    <row r="10">
      <c r="A10" s="37" t="inlineStr">
        <is>
          <t>S09</t>
        </is>
      </c>
      <c r="B10" s="17" t="inlineStr">
        <is>
          <t>BM25</t>
        </is>
      </c>
      <c r="C10" s="17" t="inlineStr">
        <is>
          <t>09-1</t>
        </is>
      </c>
      <c r="D10" s="5" t="inlineStr">
        <is>
          <t>실행 위치 (파이썬 / Oracle Text / Milvus)</t>
        </is>
      </c>
      <c r="E10" s="6" t="inlineStr"/>
      <c r="F10" s="5" t="inlineStr"/>
      <c r="G10" s="17" t="inlineStr">
        <is>
          <t>P0</t>
        </is>
      </c>
      <c r="H10" s="18" t="inlineStr">
        <is>
          <t>미확인</t>
        </is>
      </c>
      <c r="I10" s="6" t="inlineStr"/>
    </row>
    <row r="11">
      <c r="A11" s="37" t="inlineStr">
        <is>
          <t>S09</t>
        </is>
      </c>
      <c r="B11" s="17" t="inlineStr">
        <is>
          <t>BM25</t>
        </is>
      </c>
      <c r="C11" s="17" t="inlineStr">
        <is>
          <t>09-2</t>
        </is>
      </c>
      <c r="D11" s="5" t="inlineStr">
        <is>
          <t>토크나이저 — "하이닉스의 / 는" 동일 토큰?</t>
        </is>
      </c>
      <c r="E11" s="6" t="inlineStr"/>
      <c r="F11" s="5" t="inlineStr">
        <is>
          <t>형태소 분석 (Kiwi / Oracle Text)</t>
        </is>
      </c>
      <c r="G11" s="17" t="inlineStr">
        <is>
          <t>P0</t>
        </is>
      </c>
      <c r="H11" s="18" t="inlineStr">
        <is>
          <t>미확인</t>
        </is>
      </c>
      <c r="I11" s="6" t="inlineStr"/>
    </row>
    <row r="12">
      <c r="A12" s="37" t="inlineStr">
        <is>
          <t>S09</t>
        </is>
      </c>
      <c r="B12" s="17" t="inlineStr">
        <is>
          <t>BM25</t>
        </is>
      </c>
      <c r="C12" s="17" t="inlineStr">
        <is>
          <t>09-3</t>
        </is>
      </c>
      <c r="D12" s="5" t="inlineStr">
        <is>
          <t>BM25 vs BGE-M3 sparse</t>
        </is>
      </c>
      <c r="E12" s="6" t="inlineStr"/>
      <c r="F12" s="5" t="inlineStr">
        <is>
          <t>코드명 · 수치 질문으로 비교 후 택1</t>
        </is>
      </c>
      <c r="G12" s="17" t="inlineStr">
        <is>
          <t>P1</t>
        </is>
      </c>
      <c r="H12" s="18" t="inlineStr">
        <is>
          <t>미확인</t>
        </is>
      </c>
      <c r="I12" s="6" t="inlineStr"/>
    </row>
    <row r="13">
      <c r="A13" s="37" t="inlineStr">
        <is>
          <t>S10</t>
        </is>
      </c>
      <c r="B13" s="17" t="inlineStr">
        <is>
          <t>시맨틱 검색</t>
        </is>
      </c>
      <c r="C13" s="17" t="inlineStr">
        <is>
          <t>10-1</t>
        </is>
      </c>
      <c r="D13" s="5" t="inlineStr">
        <is>
          <t>권한 · 기간 필터가 검색과 동시에</t>
        </is>
      </c>
      <c r="E13" s="6" t="inlineStr"/>
      <c r="F13" s="5" t="inlineStr">
        <is>
          <t>Milvus 사전 필터 (사후 필터 금지)</t>
        </is>
      </c>
      <c r="G13" s="17" t="inlineStr">
        <is>
          <t>P0</t>
        </is>
      </c>
      <c r="H13" s="18" t="inlineStr">
        <is>
          <t>미확인</t>
        </is>
      </c>
      <c r="I13" s="6" t="inlineStr"/>
    </row>
    <row r="14">
      <c r="A14" s="37" t="inlineStr">
        <is>
          <t>S10</t>
        </is>
      </c>
      <c r="B14" s="17" t="inlineStr">
        <is>
          <t>시맨틱 검색</t>
        </is>
      </c>
      <c r="C14" s="17" t="inlineStr">
        <is>
          <t>10-2</t>
        </is>
      </c>
      <c r="D14" s="5" t="inlineStr">
        <is>
          <t>top-k</t>
        </is>
      </c>
      <c r="E14" s="6" t="inlineStr"/>
      <c r="F14" s="5" t="inlineStr">
        <is>
          <t>50</t>
        </is>
      </c>
      <c r="G14" s="17" t="inlineStr">
        <is>
          <t>P1</t>
        </is>
      </c>
      <c r="H14" s="18" t="inlineStr">
        <is>
          <t>미확인</t>
        </is>
      </c>
      <c r="I14" s="6" t="inlineStr"/>
    </row>
    <row r="15">
      <c r="A15" s="37" t="inlineStr">
        <is>
          <t>S11</t>
        </is>
      </c>
      <c r="B15" s="17" t="inlineStr">
        <is>
          <t>결합 · 다양성</t>
        </is>
      </c>
      <c r="C15" s="17" t="inlineStr">
        <is>
          <t>11-1</t>
        </is>
      </c>
      <c r="D15" s="5" t="inlineStr">
        <is>
          <t>결합 방식</t>
        </is>
      </c>
      <c r="E15" s="6" t="inlineStr">
        <is>
          <t>계획만 있음</t>
        </is>
      </c>
      <c r="F15" s="5" t="inlineStr">
        <is>
          <t>RRF k=60</t>
        </is>
      </c>
      <c r="G15" s="17" t="inlineStr">
        <is>
          <t>P0</t>
        </is>
      </c>
      <c r="H15" s="18" t="inlineStr">
        <is>
          <t>미확인</t>
        </is>
      </c>
      <c r="I15" s="6" t="inlineStr"/>
    </row>
    <row r="16">
      <c r="A16" s="37" t="inlineStr">
        <is>
          <t>S11</t>
        </is>
      </c>
      <c r="B16" s="17" t="inlineStr">
        <is>
          <t>결합 · 다양성</t>
        </is>
      </c>
      <c r="C16" s="17" t="inlineStr">
        <is>
          <t>11-2</t>
        </is>
      </c>
      <c r="D16" s="5" t="inlineStr">
        <is>
          <t>MMR 위치 · λ</t>
        </is>
      </c>
      <c r="E16" s="6" t="inlineStr">
        <is>
          <t>계획만 있음</t>
        </is>
      </c>
      <c r="F16" s="5" t="inlineStr">
        <is>
          <t>리랭크 뒤, λ 0.5~0.7</t>
        </is>
      </c>
      <c r="G16" s="17" t="inlineStr">
        <is>
          <t>P1</t>
        </is>
      </c>
      <c r="H16" s="18" t="inlineStr">
        <is>
          <t>미확인</t>
        </is>
      </c>
      <c r="I16" s="6" t="inlineStr"/>
    </row>
    <row r="17">
      <c r="A17" s="37" t="inlineStr">
        <is>
          <t>S11</t>
        </is>
      </c>
      <c r="B17" s="17" t="inlineStr">
        <is>
          <t>결합 · 다양성</t>
        </is>
      </c>
      <c r="C17" s="17" t="inlineStr">
        <is>
          <t>11-3</t>
        </is>
      </c>
      <c r="D17" s="5" t="inlineStr">
        <is>
          <t>문서당 청크 상한</t>
        </is>
      </c>
      <c r="E17" s="6" t="inlineStr"/>
      <c r="F17" s="5" t="inlineStr">
        <is>
          <t>문서당 3개</t>
        </is>
      </c>
      <c r="G17" s="17" t="inlineStr">
        <is>
          <t>P1</t>
        </is>
      </c>
      <c r="H17" s="18" t="inlineStr">
        <is>
          <t>미확인</t>
        </is>
      </c>
      <c r="I17" s="6" t="inlineStr"/>
    </row>
    <row r="18">
      <c r="A18" s="37" t="inlineStr">
        <is>
          <t>S12</t>
        </is>
      </c>
      <c r="B18" s="17" t="inlineStr">
        <is>
          <t>리랭크</t>
        </is>
      </c>
      <c r="C18" s="17" t="inlineStr">
        <is>
          <t>12-1</t>
        </is>
      </c>
      <c r="D18" s="5" t="inlineStr">
        <is>
          <t>모델 · 후보 수 → 최종 수</t>
        </is>
      </c>
      <c r="E18" s="6" t="inlineStr"/>
      <c r="F18" s="5" t="inlineStr">
        <is>
          <t>bge-reranker-v2-m3, 50 → 5~8</t>
        </is>
      </c>
      <c r="G18" s="17" t="inlineStr">
        <is>
          <t>P0</t>
        </is>
      </c>
      <c r="H18" s="18" t="inlineStr">
        <is>
          <t>미확인</t>
        </is>
      </c>
      <c r="I18" s="6" t="inlineStr"/>
    </row>
    <row r="19">
      <c r="A19" s="37" t="inlineStr">
        <is>
          <t>S12</t>
        </is>
      </c>
      <c r="B19" s="17" t="inlineStr">
        <is>
          <t>리랭크</t>
        </is>
      </c>
      <c r="C19" s="17" t="inlineStr">
        <is>
          <t>12-2</t>
        </is>
      </c>
      <c r="D19" s="5" t="inlineStr">
        <is>
          <t>지연</t>
        </is>
      </c>
      <c r="E19" s="6" t="inlineStr"/>
      <c r="F19" s="5" t="inlineStr">
        <is>
          <t>p95 예산 안</t>
        </is>
      </c>
      <c r="G19" s="17" t="inlineStr">
        <is>
          <t>P1</t>
        </is>
      </c>
      <c r="H19" s="18" t="inlineStr">
        <is>
          <t>미확인</t>
        </is>
      </c>
      <c r="I19" s="6" t="inlineStr"/>
    </row>
    <row r="20">
      <c r="A20" s="37" t="inlineStr">
        <is>
          <t>S13</t>
        </is>
      </c>
      <c r="B20" s="17" t="inlineStr">
        <is>
          <t>컨텍스트</t>
        </is>
      </c>
      <c r="C20" s="17" t="inlineStr">
        <is>
          <t>13-1</t>
        </is>
      </c>
      <c r="D20" s="5" t="inlineStr">
        <is>
          <t>청크 라벨 [번호|유형|기관|날짜]</t>
        </is>
      </c>
      <c r="E20" s="6" t="inlineStr"/>
      <c r="F20" s="5" t="inlineStr">
        <is>
          <t>라벨 필수</t>
        </is>
      </c>
      <c r="G20" s="17" t="inlineStr">
        <is>
          <t>P0</t>
        </is>
      </c>
      <c r="H20" s="18" t="inlineStr">
        <is>
          <t>미확인</t>
        </is>
      </c>
      <c r="I20" s="6" t="inlineStr"/>
    </row>
    <row r="21">
      <c r="A21" s="37" t="inlineStr">
        <is>
          <t>S13</t>
        </is>
      </c>
      <c r="B21" s="17" t="inlineStr">
        <is>
          <t>컨텍스트</t>
        </is>
      </c>
      <c r="C21" s="17" t="inlineStr">
        <is>
          <t>13-2</t>
        </is>
      </c>
      <c r="D21" s="5" t="inlineStr">
        <is>
          <t>넘기는 청크 수</t>
        </is>
      </c>
      <c r="E21" s="6" t="inlineStr"/>
      <c r="F21" s="5" t="inlineStr">
        <is>
          <t>토큰 예산 기준</t>
        </is>
      </c>
      <c r="G21" s="17" t="inlineStr">
        <is>
          <t>P1</t>
        </is>
      </c>
      <c r="H21" s="18" t="inlineStr">
        <is>
          <t>미확인</t>
        </is>
      </c>
      <c r="I21" s="6" t="inlineStr"/>
    </row>
    <row r="22">
      <c r="A22" s="37" t="inlineStr">
        <is>
          <t>S14</t>
        </is>
      </c>
      <c r="B22" s="17" t="inlineStr">
        <is>
          <t>LLM 답변</t>
        </is>
      </c>
      <c r="C22" s="17" t="inlineStr">
        <is>
          <t>14-1</t>
        </is>
      </c>
      <c r="D22" s="5" t="inlineStr">
        <is>
          <t>출처 번호 인용</t>
        </is>
      </c>
      <c r="E22" s="6" t="inlineStr"/>
      <c r="F22" s="5" t="inlineStr">
        <is>
          <t>문장별 인용 강제</t>
        </is>
      </c>
      <c r="G22" s="17" t="inlineStr">
        <is>
          <t>P0</t>
        </is>
      </c>
      <c r="H22" s="18" t="inlineStr">
        <is>
          <t>미확인</t>
        </is>
      </c>
      <c r="I22" s="6" t="inlineStr"/>
    </row>
    <row r="23">
      <c r="A23" s="37" t="inlineStr">
        <is>
          <t>S14</t>
        </is>
      </c>
      <c r="B23" s="17" t="inlineStr">
        <is>
          <t>LLM 답변</t>
        </is>
      </c>
      <c r="C23" s="17" t="inlineStr">
        <is>
          <t>14-2</t>
        </is>
      </c>
      <c r="D23" s="5" t="inlineStr">
        <is>
          <t>근거 없을 때</t>
        </is>
      </c>
      <c r="E23" s="6" t="inlineStr"/>
      <c r="F23" s="5" t="inlineStr">
        <is>
          <t>"확인된 자료 없음" 응답</t>
        </is>
      </c>
      <c r="G23" s="17" t="inlineStr">
        <is>
          <t>P0</t>
        </is>
      </c>
      <c r="H23" s="18" t="inlineStr">
        <is>
          <t>미확인</t>
        </is>
      </c>
      <c r="I23" s="6" t="inlineStr"/>
    </row>
    <row r="24">
      <c r="A24" s="37" t="inlineStr">
        <is>
          <t>S14</t>
        </is>
      </c>
      <c r="B24" s="17" t="inlineStr">
        <is>
          <t>LLM 답변</t>
        </is>
      </c>
      <c r="C24" s="17" t="inlineStr">
        <is>
          <t>14-3</t>
        </is>
      </c>
      <c r="D24" s="5" t="inlineStr">
        <is>
          <t>자료 간 시점 · 수치 충돌</t>
        </is>
      </c>
      <c r="E24" s="6" t="inlineStr"/>
      <c r="F24" s="5" t="inlineStr">
        <is>
          <t>둘 다 날짜와 함께 제시</t>
        </is>
      </c>
      <c r="G24" s="17" t="inlineStr">
        <is>
          <t>P1</t>
        </is>
      </c>
      <c r="H24" s="18" t="inlineStr">
        <is>
          <t>미확인</t>
        </is>
      </c>
      <c r="I24" s="6" t="inlineStr"/>
    </row>
    <row r="25">
      <c r="A25" s="37" t="inlineStr">
        <is>
          <t>S15</t>
        </is>
      </c>
      <c r="B25" s="17" t="inlineStr">
        <is>
          <t>평가</t>
        </is>
      </c>
      <c r="C25" s="17" t="inlineStr">
        <is>
          <t>15-1</t>
        </is>
      </c>
      <c r="D25" s="5" t="inlineStr">
        <is>
          <t>골든셋</t>
        </is>
      </c>
      <c r="E25" s="6" t="inlineStr"/>
      <c r="F25" s="5" t="inlineStr">
        <is>
          <t>문서 ID + 정답 문장 (청크 ID 금지)</t>
        </is>
      </c>
      <c r="G25" s="17" t="inlineStr">
        <is>
          <t>P0</t>
        </is>
      </c>
      <c r="H25" s="18" t="inlineStr">
        <is>
          <t>미확인</t>
        </is>
      </c>
      <c r="I25" s="6" t="inlineStr"/>
    </row>
    <row r="26">
      <c r="A26" s="37" t="inlineStr">
        <is>
          <t>S15</t>
        </is>
      </c>
      <c r="B26" s="17" t="inlineStr">
        <is>
          <t>평가</t>
        </is>
      </c>
      <c r="C26" s="17" t="inlineStr">
        <is>
          <t>15-2</t>
        </is>
      </c>
      <c r="D26" s="5" t="inlineStr">
        <is>
          <t>검색 지표 · 단계별 비교</t>
        </is>
      </c>
      <c r="E26" s="6" t="inlineStr"/>
      <c r="F26" s="5" t="inlineStr">
        <is>
          <t>Recall@k · MRR, BM25/Dense/Hybrid/+Rerank</t>
        </is>
      </c>
      <c r="G26" s="17" t="inlineStr">
        <is>
          <t>P0</t>
        </is>
      </c>
      <c r="H26" s="18" t="inlineStr">
        <is>
          <t>미확인</t>
        </is>
      </c>
      <c r="I26" s="6" t="inlineStr"/>
    </row>
    <row r="27">
      <c r="A27" s="37" t="inlineStr">
        <is>
          <t>S15</t>
        </is>
      </c>
      <c r="B27" s="17" t="inlineStr">
        <is>
          <t>평가</t>
        </is>
      </c>
      <c r="C27" s="17" t="inlineStr">
        <is>
          <t>15-3</t>
        </is>
      </c>
      <c r="D27" s="5" t="inlineStr">
        <is>
          <t>답변 채점</t>
        </is>
      </c>
      <c r="E27" s="6" t="inlineStr"/>
      <c r="F27" s="5" t="inlineStr">
        <is>
          <t>사내 LLM + 20문항 사람 교차</t>
        </is>
      </c>
      <c r="G27" s="17" t="inlineStr">
        <is>
          <t>P1</t>
        </is>
      </c>
      <c r="H27" s="18" t="inlineStr">
        <is>
          <t>미확인</t>
        </is>
      </c>
      <c r="I27" s="6" t="inlineStr"/>
    </row>
  </sheetData>
  <autoFilter ref="A4:I27"/>
  <mergeCells count="2">
    <mergeCell ref="A1:I1"/>
    <mergeCell ref="A2:I2"/>
  </mergeCells>
  <conditionalFormatting sqref="H5:H27">
    <cfRule type="cellIs" priority="1" operator="equal" dxfId="2">
      <formula>"완료"</formula>
    </cfRule>
    <cfRule type="cellIs" priority="2" operator="equal" dxfId="3">
      <formula>"확인중"</formula>
    </cfRule>
    <cfRule type="cellIs" priority="3" operator="equal" dxfId="4">
      <formula>"해당없음"</formula>
    </cfRule>
  </conditionalFormatting>
  <conditionalFormatting sqref="G5:G27">
    <cfRule type="cellIs" priority="4" operator="equal" dxfId="5">
      <formula>"P0"</formula>
    </cfRule>
    <cfRule type="cellIs" priority="5" operator="equal" dxfId="6">
      <formula>"P1"</formula>
    </cfRule>
    <cfRule type="cellIs" priority="6" operator="equal" dxfId="7">
      <formula>"P2"</formula>
    </cfRule>
  </conditionalFormatting>
  <dataValidations count="2">
    <dataValidation sqref="H5:H27" showDropDown="0" showInputMessage="0" showErrorMessage="0" allowBlank="1" type="list">
      <formula1>"미확인,확인중,완료,해당없음"</formula1>
    </dataValidation>
    <dataValidation sqref="G5:G27" showDropDown="0" showInputMessage="0" showErrorMessage="0" allowBlank="1" type="list">
      <formula1>"P0,P1,P2"</formula1>
    </dataValidation>
  </dataValidation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I17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6" customWidth="1" min="3" max="3"/>
    <col width="40" customWidth="1" min="4" max="4"/>
    <col width="30" customWidth="1" min="5" max="5"/>
    <col width="38" customWidth="1" min="6" max="6"/>
    <col width="6" customWidth="1" min="7" max="7"/>
    <col width="9" customWidth="1" min="8" max="8"/>
    <col width="24" customWidth="1" min="9" max="9"/>
  </cols>
  <sheetData>
    <row r="1">
      <c r="A1" s="1" t="inlineStr">
        <is>
          <t>Phase 2 · 마켓 센싱 (S16 → S21)</t>
        </is>
      </c>
    </row>
    <row r="2">
      <c r="A2" s="2" t="inlineStr">
        <is>
          <t>연노랑 칸(현 수준 · 상태 · 메모)만 입력</t>
        </is>
      </c>
    </row>
    <row r="4">
      <c r="A4" s="3" t="inlineStr">
        <is>
          <t>단계</t>
        </is>
      </c>
      <c r="B4" s="3" t="inlineStr">
        <is>
          <t>단계명</t>
        </is>
      </c>
      <c r="C4" s="3" t="inlineStr">
        <is>
          <t>No</t>
        </is>
      </c>
      <c r="D4" s="3" t="inlineStr">
        <is>
          <t>체크 항목</t>
        </is>
      </c>
      <c r="E4" s="3" t="inlineStr">
        <is>
          <t>현 수준</t>
        </is>
      </c>
      <c r="F4" s="3" t="inlineStr">
        <is>
          <t>개선 방향</t>
        </is>
      </c>
      <c r="G4" s="3" t="inlineStr">
        <is>
          <t>우선</t>
        </is>
      </c>
      <c r="H4" s="3" t="inlineStr">
        <is>
          <t>상태</t>
        </is>
      </c>
      <c r="I4" s="3" t="inlineStr">
        <is>
          <t>메모</t>
        </is>
      </c>
    </row>
    <row r="5">
      <c r="A5" s="37" t="inlineStr">
        <is>
          <t>S16</t>
        </is>
      </c>
      <c r="B5" s="17" t="inlineStr">
        <is>
          <t>센싱 축</t>
        </is>
      </c>
      <c r="C5" s="17" t="inlineStr">
        <is>
          <t>16-1</t>
        </is>
      </c>
      <c r="D5" s="5" t="inlineStr">
        <is>
          <t>축 확정</t>
        </is>
      </c>
      <c r="E5" s="6" t="inlineStr">
        <is>
          <t>6축 전부 사용 (수요 · 공급 · 가격 · 기술 · 정책 · 고객)</t>
        </is>
      </c>
      <c r="F5" s="5" t="inlineStr">
        <is>
          <t>—</t>
        </is>
      </c>
      <c r="G5" s="17" t="inlineStr">
        <is>
          <t>P0</t>
        </is>
      </c>
      <c r="H5" s="18" t="inlineStr">
        <is>
          <t>완료</t>
        </is>
      </c>
      <c r="I5" s="6" t="inlineStr"/>
    </row>
    <row r="6">
      <c r="A6" s="37" t="inlineStr">
        <is>
          <t>S16</t>
        </is>
      </c>
      <c r="B6" s="17" t="inlineStr">
        <is>
          <t>센싱 축</t>
        </is>
      </c>
      <c r="C6" s="17" t="inlineStr">
        <is>
          <t>16-2</t>
        </is>
      </c>
      <c r="D6" s="5" t="inlineStr">
        <is>
          <t>축당 하위 신호 3~5 + "이상" 정의</t>
        </is>
      </c>
      <c r="E6" s="6" t="inlineStr"/>
      <c r="F6" s="5" t="inlineStr">
        <is>
          <t>축별 담당자와 한 문장씩</t>
        </is>
      </c>
      <c r="G6" s="17" t="inlineStr">
        <is>
          <t>P0</t>
        </is>
      </c>
      <c r="H6" s="18" t="inlineStr">
        <is>
          <t>미확인</t>
        </is>
      </c>
      <c r="I6" s="6" t="inlineStr"/>
    </row>
    <row r="7">
      <c r="A7" s="37" t="inlineStr">
        <is>
          <t>S17</t>
        </is>
      </c>
      <c r="B7" s="17" t="inlineStr">
        <is>
          <t>상시 질의</t>
        </is>
      </c>
      <c r="C7" s="17" t="inlineStr">
        <is>
          <t>17-1</t>
        </is>
      </c>
      <c r="D7" s="5" t="inlineStr">
        <is>
          <t>신호당 질의 2~4개 (한 · 영)</t>
        </is>
      </c>
      <c r="E7" s="6" t="inlineStr"/>
      <c r="F7" s="5" t="inlineStr">
        <is>
          <t>사내 LLM 초안 + 검수</t>
        </is>
      </c>
      <c r="G7" s="17" t="inlineStr">
        <is>
          <t>P0</t>
        </is>
      </c>
      <c r="H7" s="18" t="inlineStr">
        <is>
          <t>미확인</t>
        </is>
      </c>
      <c r="I7" s="6" t="inlineStr"/>
    </row>
    <row r="8">
      <c r="A8" s="37" t="inlineStr">
        <is>
          <t>S17</t>
        </is>
      </c>
      <c r="B8" s="17" t="inlineStr">
        <is>
          <t>상시 질의</t>
        </is>
      </c>
      <c r="C8" s="17" t="inlineStr">
        <is>
          <t>17-2</t>
        </is>
      </c>
      <c r="D8" s="5" t="inlineStr">
        <is>
          <t>기간 창 · 태그 필터 템플릿</t>
        </is>
      </c>
      <c r="E8" s="6" t="inlineStr"/>
      <c r="F8" s="5" t="inlineStr">
        <is>
          <t>이번 주 vs 지난 4주</t>
        </is>
      </c>
      <c r="G8" s="17" t="inlineStr">
        <is>
          <t>P0</t>
        </is>
      </c>
      <c r="H8" s="18" t="inlineStr">
        <is>
          <t>미확인</t>
        </is>
      </c>
      <c r="I8" s="6" t="inlineStr"/>
    </row>
    <row r="9">
      <c r="A9" s="37" t="inlineStr">
        <is>
          <t>S18</t>
        </is>
      </c>
      <c r="B9" s="17" t="inlineStr">
        <is>
          <t>검색 · 수집</t>
        </is>
      </c>
      <c r="C9" s="17" t="inlineStr">
        <is>
          <t>18-1</t>
        </is>
      </c>
      <c r="D9" s="5" t="inlineStr">
        <is>
          <t>하이브리드 재사용 + 기간 창</t>
        </is>
      </c>
      <c r="E9" s="6" t="inlineStr"/>
      <c r="F9" s="5" t="inlineStr">
        <is>
          <t>Phase 1 S10 그대로</t>
        </is>
      </c>
      <c r="G9" s="17" t="inlineStr">
        <is>
          <t>P0</t>
        </is>
      </c>
      <c r="H9" s="18" t="inlineStr">
        <is>
          <t>미확인</t>
        </is>
      </c>
      <c r="I9" s="6" t="inlineStr"/>
    </row>
    <row r="10">
      <c r="A10" s="37" t="inlineStr">
        <is>
          <t>S18</t>
        </is>
      </c>
      <c r="B10" s="17" t="inlineStr">
        <is>
          <t>검색 · 수집</t>
        </is>
      </c>
      <c r="C10" s="17" t="inlineStr">
        <is>
          <t>18-2</t>
        </is>
      </c>
      <c r="D10" s="5" t="inlineStr">
        <is>
          <t>재송고 뉴스 접기</t>
        </is>
      </c>
      <c r="E10" s="6" t="inlineStr"/>
      <c r="F10" s="5" t="inlineStr">
        <is>
          <t>MinHash + MMR → 사건 단위</t>
        </is>
      </c>
      <c r="G10" s="17" t="inlineStr">
        <is>
          <t>P0</t>
        </is>
      </c>
      <c r="H10" s="18" t="inlineStr">
        <is>
          <t>미확인</t>
        </is>
      </c>
      <c r="I10" s="6" t="inlineStr"/>
    </row>
    <row r="11">
      <c r="A11" s="37" t="inlineStr">
        <is>
          <t>S19</t>
        </is>
      </c>
      <c r="B11" s="17" t="inlineStr">
        <is>
          <t>변화 감지</t>
        </is>
      </c>
      <c r="C11" s="17" t="inlineStr">
        <is>
          <t>19-1</t>
        </is>
      </c>
      <c r="D11" s="5" t="inlineStr">
        <is>
          <t>언급량 급증</t>
        </is>
      </c>
      <c r="E11" s="6" t="inlineStr"/>
      <c r="F11" s="5" t="inlineStr">
        <is>
          <t>지난 4주 평균 대비 z-score</t>
        </is>
      </c>
      <c r="G11" s="17" t="inlineStr">
        <is>
          <t>P0</t>
        </is>
      </c>
      <c r="H11" s="18" t="inlineStr">
        <is>
          <t>미확인</t>
        </is>
      </c>
      <c r="I11" s="6" t="inlineStr"/>
    </row>
    <row r="12">
      <c r="A12" s="37" t="inlineStr">
        <is>
          <t>S19</t>
        </is>
      </c>
      <c r="B12" s="17" t="inlineStr">
        <is>
          <t>변화 감지</t>
        </is>
      </c>
      <c r="C12" s="17" t="inlineStr">
        <is>
          <t>19-2</t>
        </is>
      </c>
      <c r="D12" s="5" t="inlineStr">
        <is>
          <t>새 엔티티 · 방향 변화</t>
        </is>
      </c>
      <c r="E12" s="6" t="inlineStr"/>
      <c r="F12" s="5" t="inlineStr">
        <is>
          <t>백테스트에서 이득 있으면 추가</t>
        </is>
      </c>
      <c r="G12" s="17" t="inlineStr">
        <is>
          <t>P1</t>
        </is>
      </c>
      <c r="H12" s="18" t="inlineStr">
        <is>
          <t>미확인</t>
        </is>
      </c>
      <c r="I12" s="6" t="inlineStr"/>
    </row>
    <row r="13">
      <c r="A13" s="37" t="inlineStr">
        <is>
          <t>S19</t>
        </is>
      </c>
      <c r="B13" s="17" t="inlineStr">
        <is>
          <t>변화 감지</t>
        </is>
      </c>
      <c r="C13" s="17" t="inlineStr">
        <is>
          <t>19-3</t>
        </is>
      </c>
      <c r="D13" s="5" t="inlineStr">
        <is>
          <t>축 점수 집계 → 정렬</t>
        </is>
      </c>
      <c r="E13" s="6" t="inlineStr">
        <is>
          <t>신호 뚜렷한 축을 위로 (요구사항)</t>
        </is>
      </c>
      <c r="F13" s="5" t="inlineStr">
        <is>
          <t>하위 신호 점수 → 축 점수(최대값)</t>
        </is>
      </c>
      <c r="G13" s="17" t="inlineStr">
        <is>
          <t>P0</t>
        </is>
      </c>
      <c r="H13" s="18" t="inlineStr">
        <is>
          <t>미확인</t>
        </is>
      </c>
      <c r="I13" s="6" t="inlineStr"/>
    </row>
    <row r="14">
      <c r="A14" s="37" t="inlineStr">
        <is>
          <t>S20</t>
        </is>
      </c>
      <c r="B14" s="17" t="inlineStr">
        <is>
          <t>요약 · 알림</t>
        </is>
      </c>
      <c r="C14" s="17" t="inlineStr">
        <is>
          <t>20-1</t>
        </is>
      </c>
      <c r="D14" s="5" t="inlineStr">
        <is>
          <t>축 점수순 리포트 + 근거 인용</t>
        </is>
      </c>
      <c r="E14" s="6" t="inlineStr"/>
      <c r="F14" s="5" t="inlineStr">
        <is>
          <t>주간 리포트 + 임계 초과 즉시</t>
        </is>
      </c>
      <c r="G14" s="17" t="inlineStr">
        <is>
          <t>P0</t>
        </is>
      </c>
      <c r="H14" s="18" t="inlineStr">
        <is>
          <t>미확인</t>
        </is>
      </c>
      <c r="I14" s="6" t="inlineStr"/>
    </row>
    <row r="15">
      <c r="A15" s="37" t="inlineStr">
        <is>
          <t>S20</t>
        </is>
      </c>
      <c r="B15" s="17" t="inlineStr">
        <is>
          <t>요약 · 알림</t>
        </is>
      </c>
      <c r="C15" s="17" t="inlineStr">
        <is>
          <t>20-2</t>
        </is>
      </c>
      <c r="D15" s="5" t="inlineStr">
        <is>
          <t>담당자 유효 / 무효 표시</t>
        </is>
      </c>
      <c r="E15" s="6" t="inlineStr"/>
      <c r="F15" s="5" t="inlineStr">
        <is>
          <t>임계 조정 근거</t>
        </is>
      </c>
      <c r="G15" s="17" t="inlineStr">
        <is>
          <t>P1</t>
        </is>
      </c>
      <c r="H15" s="18" t="inlineStr">
        <is>
          <t>미확인</t>
        </is>
      </c>
      <c r="I15" s="6" t="inlineStr"/>
    </row>
    <row r="16">
      <c r="A16" s="37" t="inlineStr">
        <is>
          <t>S21</t>
        </is>
      </c>
      <c r="B16" s="17" t="inlineStr">
        <is>
          <t>백테스트</t>
        </is>
      </c>
      <c r="C16" s="17" t="inlineStr">
        <is>
          <t>21-1</t>
        </is>
      </c>
      <c r="D16" s="5" t="inlineStr">
        <is>
          <t>과거 실제 사건 10건</t>
        </is>
      </c>
      <c r="E16" s="6" t="inlineStr"/>
      <c r="F16" s="5" t="inlineStr">
        <is>
          <t>감산 · 가격 급등 · 규제</t>
        </is>
      </c>
      <c r="G16" s="17" t="inlineStr">
        <is>
          <t>P0</t>
        </is>
      </c>
      <c r="H16" s="18" t="inlineStr">
        <is>
          <t>미확인</t>
        </is>
      </c>
      <c r="I16" s="6" t="inlineStr"/>
    </row>
    <row r="17">
      <c r="A17" s="37" t="inlineStr">
        <is>
          <t>S21</t>
        </is>
      </c>
      <c r="B17" s="17" t="inlineStr">
        <is>
          <t>백테스트</t>
        </is>
      </c>
      <c r="C17" s="17" t="inlineStr">
        <is>
          <t>21-2</t>
        </is>
      </c>
      <c r="D17" s="5" t="inlineStr">
        <is>
          <t>회수율 · 오탐</t>
        </is>
      </c>
      <c r="E17" s="6" t="inlineStr"/>
      <c r="F17" s="5" t="inlineStr">
        <is>
          <t>임계 · 질의 조정</t>
        </is>
      </c>
      <c r="G17" s="17" t="inlineStr">
        <is>
          <t>P0</t>
        </is>
      </c>
      <c r="H17" s="18" t="inlineStr">
        <is>
          <t>미확인</t>
        </is>
      </c>
      <c r="I17" s="6" t="inlineStr"/>
    </row>
  </sheetData>
  <autoFilter ref="A4:I17"/>
  <mergeCells count="2">
    <mergeCell ref="A1:I1"/>
    <mergeCell ref="A2:I2"/>
  </mergeCells>
  <conditionalFormatting sqref="H5:H17">
    <cfRule type="cellIs" priority="1" operator="equal" dxfId="2">
      <formula>"완료"</formula>
    </cfRule>
    <cfRule type="cellIs" priority="2" operator="equal" dxfId="3">
      <formula>"확인중"</formula>
    </cfRule>
    <cfRule type="cellIs" priority="3" operator="equal" dxfId="4">
      <formula>"해당없음"</formula>
    </cfRule>
  </conditionalFormatting>
  <conditionalFormatting sqref="G5:G17">
    <cfRule type="cellIs" priority="4" operator="equal" dxfId="5">
      <formula>"P0"</formula>
    </cfRule>
    <cfRule type="cellIs" priority="5" operator="equal" dxfId="6">
      <formula>"P1"</formula>
    </cfRule>
    <cfRule type="cellIs" priority="6" operator="equal" dxfId="7">
      <formula>"P2"</formula>
    </cfRule>
  </conditionalFormatting>
  <dataValidations count="2">
    <dataValidation sqref="H5:H17" showDropDown="0" showInputMessage="0" showErrorMessage="0" allowBlank="1" type="list">
      <formula1>"미확인,확인중,완료,해당없음"</formula1>
    </dataValidation>
    <dataValidation sqref="G5:G17" showDropDown="0" showInputMessage="0" showErrorMessage="0" allowBlank="1" type="list">
      <formula1>"P0,P1,P2"</formula1>
    </dataValidation>
  </dataValidation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I37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6" customWidth="1" min="3" max="3"/>
    <col width="40" customWidth="1" min="4" max="4"/>
    <col width="30" customWidth="1" min="5" max="5"/>
    <col width="38" customWidth="1" min="6" max="6"/>
    <col width="6" customWidth="1" min="7" max="7"/>
    <col width="9" customWidth="1" min="8" max="8"/>
    <col width="24" customWidth="1" min="9" max="9"/>
  </cols>
  <sheetData>
    <row r="1">
      <c r="A1" s="1" t="inlineStr">
        <is>
          <t>Phase 3 · 정형 데이터 연계 — 사내 DB · SQL × 비정형 (S22 → S29)</t>
        </is>
      </c>
    </row>
    <row r="2">
      <c r="A2" s="2" t="inlineStr">
        <is>
          <t>연노랑 칸(현 수준 · 상태 · 메모)만 입력</t>
        </is>
      </c>
    </row>
    <row r="4">
      <c r="A4" s="3" t="inlineStr">
        <is>
          <t>단계</t>
        </is>
      </c>
      <c r="B4" s="3" t="inlineStr">
        <is>
          <t>단계명</t>
        </is>
      </c>
      <c r="C4" s="3" t="inlineStr">
        <is>
          <t>No</t>
        </is>
      </c>
      <c r="D4" s="3" t="inlineStr">
        <is>
          <t>체크 항목</t>
        </is>
      </c>
      <c r="E4" s="3" t="inlineStr">
        <is>
          <t>현 수준</t>
        </is>
      </c>
      <c r="F4" s="3" t="inlineStr">
        <is>
          <t>개선 방향</t>
        </is>
      </c>
      <c r="G4" s="3" t="inlineStr">
        <is>
          <t>우선</t>
        </is>
      </c>
      <c r="H4" s="3" t="inlineStr">
        <is>
          <t>상태</t>
        </is>
      </c>
      <c r="I4" s="3" t="inlineStr">
        <is>
          <t>메모</t>
        </is>
      </c>
    </row>
    <row r="5">
      <c r="A5" s="37" t="inlineStr">
        <is>
          <t>S22</t>
        </is>
      </c>
      <c r="B5" s="17" t="inlineStr">
        <is>
          <t>정형 자산 카탈로그</t>
        </is>
      </c>
      <c r="C5" s="17" t="inlineStr">
        <is>
          <t>22-1</t>
        </is>
      </c>
      <c r="D5" s="5" t="inlineStr">
        <is>
          <t>대상 테이블 · 뷰 목록 — 소유 부서 · 갱신 주기 · 행 수 · 보존 기간</t>
        </is>
      </c>
      <c r="E5" s="6" t="inlineStr"/>
      <c r="F5" s="5" t="inlineStr">
        <is>
          <t>연계 1차 대상 5~10개로 한정 (판매 · 수급 · 가격 · 재고 · 생산)</t>
        </is>
      </c>
      <c r="G5" s="17" t="inlineStr">
        <is>
          <t>P0</t>
        </is>
      </c>
      <c r="H5" s="18" t="inlineStr">
        <is>
          <t>미확인</t>
        </is>
      </c>
      <c r="I5" s="6" t="inlineStr"/>
    </row>
    <row r="6">
      <c r="A6" s="37" t="inlineStr">
        <is>
          <t>S22</t>
        </is>
      </c>
      <c r="B6" s="17" t="inlineStr">
        <is>
          <t>정형 자산 카탈로그</t>
        </is>
      </c>
      <c r="C6" s="17" t="inlineStr">
        <is>
          <t>22-2</t>
        </is>
      </c>
      <c r="D6" s="5" t="inlineStr">
        <is>
          <t>지표 정의서 — 업무 용어 → 컬럼 · 집계식 · 단위 · 기간</t>
        </is>
      </c>
      <c r="E6" s="6" t="inlineStr"/>
      <c r="F6" s="5" t="inlineStr">
        <is>
          <t>"수급 충족률", "계약가", "출하량"을 SQL 식으로 1:1 정의. 이게 없으면 Text-to-SQL은 시작 불가</t>
        </is>
      </c>
      <c r="G6" s="17" t="inlineStr">
        <is>
          <t>P0</t>
        </is>
      </c>
      <c r="H6" s="18" t="inlineStr">
        <is>
          <t>미확인</t>
        </is>
      </c>
      <c r="I6" s="6" t="inlineStr"/>
    </row>
    <row r="7">
      <c r="A7" s="37" t="inlineStr">
        <is>
          <t>S22</t>
        </is>
      </c>
      <c r="B7" s="17" t="inlineStr">
        <is>
          <t>정형 자산 카탈로그</t>
        </is>
      </c>
      <c r="C7" s="17" t="inlineStr">
        <is>
          <t>22-3</t>
        </is>
      </c>
      <c r="D7" s="5" t="inlineStr">
        <is>
          <t>코드값 사전 — 제품 · 고객 · 지역 코드 ↔ 이름 · 약어 · 별칭</t>
        </is>
      </c>
      <c r="E7" s="6" t="inlineStr"/>
      <c r="F7" s="5" t="inlineStr">
        <is>
          <t>질문의 "HBM3E 12단"을 PRODUCT_CODE 목록으로 바꾸는 표</t>
        </is>
      </c>
      <c r="G7" s="17" t="inlineStr">
        <is>
          <t>P0</t>
        </is>
      </c>
      <c r="H7" s="18" t="inlineStr">
        <is>
          <t>미확인</t>
        </is>
      </c>
      <c r="I7" s="6" t="inlineStr"/>
    </row>
    <row r="8">
      <c r="A8" s="37" t="inlineStr">
        <is>
          <t>S22</t>
        </is>
      </c>
      <c r="B8" s="17" t="inlineStr">
        <is>
          <t>정형 자산 카탈로그</t>
        </is>
      </c>
      <c r="C8" s="17" t="inlineStr">
        <is>
          <t>22-4</t>
        </is>
      </c>
      <c r="D8" s="5" t="inlineStr">
        <is>
          <t>컬럼 설명 · 샘플값 · NULL 비율</t>
        </is>
      </c>
      <c r="E8" s="6" t="inlineStr"/>
      <c r="F8" s="5" t="inlineStr">
        <is>
          <t>LLM 프롬프트에 넣을 스키마 설명의 재료</t>
        </is>
      </c>
      <c r="G8" s="17" t="inlineStr">
        <is>
          <t>P1</t>
        </is>
      </c>
      <c r="H8" s="18" t="inlineStr">
        <is>
          <t>미확인</t>
        </is>
      </c>
      <c r="I8" s="6" t="inlineStr"/>
    </row>
    <row r="9">
      <c r="A9" s="37" t="inlineStr">
        <is>
          <t>S23</t>
        </is>
      </c>
      <c r="B9" s="17" t="inlineStr">
        <is>
          <t>시맨틱 뷰 · 허용목록</t>
        </is>
      </c>
      <c r="C9" s="17" t="inlineStr">
        <is>
          <t>23-1</t>
        </is>
      </c>
      <c r="D9" s="5" t="inlineStr">
        <is>
          <t>LLM이 조회할 분석 전용 뷰 (표준 컬럼명 · 단위 · 기간)</t>
        </is>
      </c>
      <c r="E9" s="6" t="inlineStr"/>
      <c r="F9" s="5" t="inlineStr">
        <is>
          <t>원본 테이블 직접 조회 금지. 조인 · 단위 환산은 뷰 안에서 끝냄</t>
        </is>
      </c>
      <c r="G9" s="17" t="inlineStr">
        <is>
          <t>P0</t>
        </is>
      </c>
      <c r="H9" s="18" t="inlineStr">
        <is>
          <t>미확인</t>
        </is>
      </c>
      <c r="I9" s="6" t="inlineStr"/>
    </row>
    <row r="10">
      <c r="A10" s="37" t="inlineStr">
        <is>
          <t>S23</t>
        </is>
      </c>
      <c r="B10" s="17" t="inlineStr">
        <is>
          <t>시맨틱 뷰 · 허용목록</t>
        </is>
      </c>
      <c r="C10" s="17" t="inlineStr">
        <is>
          <t>23-2</t>
        </is>
      </c>
      <c r="D10" s="5" t="inlineStr">
        <is>
          <t>allow-list — 조회 허용 테이블 · 컬럼 목록</t>
        </is>
      </c>
      <c r="E10" s="6" t="inlineStr"/>
      <c r="F10" s="5" t="inlineStr">
        <is>
          <t>목록 밖은 생성 SQL 단계에서 차단</t>
        </is>
      </c>
      <c r="G10" s="17" t="inlineStr">
        <is>
          <t>P0</t>
        </is>
      </c>
      <c r="H10" s="18" t="inlineStr">
        <is>
          <t>미확인</t>
        </is>
      </c>
      <c r="I10" s="6" t="inlineStr"/>
    </row>
    <row r="11">
      <c r="A11" s="37" t="inlineStr">
        <is>
          <t>S23</t>
        </is>
      </c>
      <c r="B11" s="17" t="inlineStr">
        <is>
          <t>시맨틱 뷰 · 허용목록</t>
        </is>
      </c>
      <c r="C11" s="17" t="inlineStr">
        <is>
          <t>23-3</t>
        </is>
      </c>
      <c r="D11" s="5" t="inlineStr">
        <is>
          <t>동의어 · 별칭 매핑 (질문 표현 → 코드 · 컬럼)</t>
        </is>
      </c>
      <c r="E11" s="6" t="inlineStr"/>
      <c r="F11" s="5" t="inlineStr">
        <is>
          <t>S27 사내 용어 사전과 같은 사전 공유</t>
        </is>
      </c>
      <c r="G11" s="17" t="inlineStr">
        <is>
          <t>P1</t>
        </is>
      </c>
      <c r="H11" s="18" t="inlineStr">
        <is>
          <t>미확인</t>
        </is>
      </c>
      <c r="I11" s="6" t="inlineStr"/>
    </row>
    <row r="12">
      <c r="A12" s="37" t="inlineStr">
        <is>
          <t>S23</t>
        </is>
      </c>
      <c r="B12" s="17" t="inlineStr">
        <is>
          <t>시맨틱 뷰 · 허용목록</t>
        </is>
      </c>
      <c r="C12" s="17" t="inlineStr">
        <is>
          <t>23-4</t>
        </is>
      </c>
      <c r="D12" s="5" t="inlineStr">
        <is>
          <t>기간 표현 표준 (분기 · 회계연도 · 주차)</t>
        </is>
      </c>
      <c r="E12" s="6" t="inlineStr"/>
      <c r="F12" s="5" t="inlineStr">
        <is>
          <t>"3분기"가 회계 기준인지 달력 기준인지 고정</t>
        </is>
      </c>
      <c r="G12" s="17" t="inlineStr">
        <is>
          <t>P1</t>
        </is>
      </c>
      <c r="H12" s="18" t="inlineStr">
        <is>
          <t>미확인</t>
        </is>
      </c>
      <c r="I12" s="6" t="inlineStr"/>
    </row>
    <row r="13">
      <c r="A13" s="37" t="inlineStr">
        <is>
          <t>S24</t>
        </is>
      </c>
      <c r="B13" s="17" t="inlineStr">
        <is>
          <t>질의 라우팅</t>
        </is>
      </c>
      <c r="C13" s="17" t="inlineStr">
        <is>
          <t>24-1</t>
        </is>
      </c>
      <c r="D13" s="5" t="inlineStr">
        <is>
          <t>질문 분류 기준 — 정형 / 비정형 / 혼합 / 불가</t>
        </is>
      </c>
      <c r="E13" s="6" t="inlineStr"/>
      <c r="F13" s="5" t="inlineStr">
        <is>
          <t>수치 · 집계 · 추이 · 비교 → 정형, 경위 · 이유 · 동향 → 비정형</t>
        </is>
      </c>
      <c r="G13" s="17" t="inlineStr">
        <is>
          <t>P0</t>
        </is>
      </c>
      <c r="H13" s="18" t="inlineStr">
        <is>
          <t>미확인</t>
        </is>
      </c>
      <c r="I13" s="6" t="inlineStr"/>
    </row>
    <row r="14">
      <c r="A14" s="37" t="inlineStr">
        <is>
          <t>S24</t>
        </is>
      </c>
      <c r="B14" s="17" t="inlineStr">
        <is>
          <t>질의 라우팅</t>
        </is>
      </c>
      <c r="C14" s="17" t="inlineStr">
        <is>
          <t>24-2</t>
        </is>
      </c>
      <c r="D14" s="5" t="inlineStr">
        <is>
          <t>분류기 구현 (규칙 우선 + 사내 LLM 보조)</t>
        </is>
      </c>
      <c r="E14" s="6" t="inlineStr"/>
      <c r="F14" s="5" t="inlineStr">
        <is>
          <t>엔티티가 코드 사전에 있으면 정형 가중</t>
        </is>
      </c>
      <c r="G14" s="17" t="inlineStr">
        <is>
          <t>P0</t>
        </is>
      </c>
      <c r="H14" s="18" t="inlineStr">
        <is>
          <t>미확인</t>
        </is>
      </c>
      <c r="I14" s="6" t="inlineStr"/>
    </row>
    <row r="15">
      <c r="A15" s="37" t="inlineStr">
        <is>
          <t>S24</t>
        </is>
      </c>
      <c r="B15" s="17" t="inlineStr">
        <is>
          <t>질의 라우팅</t>
        </is>
      </c>
      <c r="C15" s="17" t="inlineStr">
        <is>
          <t>24-3</t>
        </is>
      </c>
      <c r="D15" s="5" t="inlineStr">
        <is>
          <t>혼합 질문 분해 — 수치부 / 설명부</t>
        </is>
      </c>
      <c r="E15" s="6" t="inlineStr"/>
      <c r="F15" s="5" t="inlineStr">
        <is>
          <t>"왜 올랐나" = SQL(추이) + RAG(이유)</t>
        </is>
      </c>
      <c r="G15" s="17" t="inlineStr">
        <is>
          <t>P1</t>
        </is>
      </c>
      <c r="H15" s="18" t="inlineStr">
        <is>
          <t>미확인</t>
        </is>
      </c>
      <c r="I15" s="6" t="inlineStr"/>
    </row>
    <row r="16">
      <c r="A16" s="37" t="inlineStr">
        <is>
          <t>S24</t>
        </is>
      </c>
      <c r="B16" s="17" t="inlineStr">
        <is>
          <t>질의 라우팅</t>
        </is>
      </c>
      <c r="C16" s="17" t="inlineStr">
        <is>
          <t>24-4</t>
        </is>
      </c>
      <c r="D16" s="5" t="inlineStr">
        <is>
          <t>불가 질문 처리 (데이터 없음 · 권한 없음)</t>
        </is>
      </c>
      <c r="E16" s="6" t="inlineStr"/>
      <c r="F16" s="5" t="inlineStr">
        <is>
          <t>되묻기 또는 "확인 불가" 응답</t>
        </is>
      </c>
      <c r="G16" s="17" t="inlineStr">
        <is>
          <t>P1</t>
        </is>
      </c>
      <c r="H16" s="18" t="inlineStr">
        <is>
          <t>미확인</t>
        </is>
      </c>
      <c r="I16" s="6" t="inlineStr"/>
    </row>
    <row r="17">
      <c r="A17" s="37" t="inlineStr">
        <is>
          <t>S25</t>
        </is>
      </c>
      <c r="B17" s="17" t="inlineStr">
        <is>
          <t>SQL 생성 · 검증</t>
        </is>
      </c>
      <c r="C17" s="17" t="inlineStr">
        <is>
          <t>25-1</t>
        </is>
      </c>
      <c r="D17" s="5" t="inlineStr">
        <is>
          <t>스키마 프롬프트 구성 — 카탈로그 일부 + few-shot 예제</t>
        </is>
      </c>
      <c r="E17" s="6" t="inlineStr"/>
      <c r="F17" s="5" t="inlineStr">
        <is>
          <t>전체 스키마를 넣지 않음. 라우팅이 고른 뷰만</t>
        </is>
      </c>
      <c r="G17" s="17" t="inlineStr">
        <is>
          <t>P0</t>
        </is>
      </c>
      <c r="H17" s="18" t="inlineStr">
        <is>
          <t>미확인</t>
        </is>
      </c>
      <c r="I17" s="6" t="inlineStr"/>
    </row>
    <row r="18">
      <c r="A18" s="37" t="inlineStr">
        <is>
          <t>S25</t>
        </is>
      </c>
      <c r="B18" s="17" t="inlineStr">
        <is>
          <t>SQL 생성 · 검증</t>
        </is>
      </c>
      <c r="C18" s="17" t="inlineStr">
        <is>
          <t>25-2</t>
        </is>
      </c>
      <c r="D18" s="5" t="inlineStr">
        <is>
          <t>정적 검증 — SELECT 전용 · allow-list · LIMIT 강제 · DDL/DML 금지</t>
        </is>
      </c>
      <c r="E18" s="6" t="inlineStr"/>
      <c r="F18" s="5" t="inlineStr">
        <is>
          <t>생성 SQL을 실행 전에 파싱해 차단</t>
        </is>
      </c>
      <c r="G18" s="17" t="inlineStr">
        <is>
          <t>P0</t>
        </is>
      </c>
      <c r="H18" s="18" t="inlineStr">
        <is>
          <t>미확인</t>
        </is>
      </c>
      <c r="I18" s="6" t="inlineStr"/>
    </row>
    <row r="19">
      <c r="A19" s="37" t="inlineStr">
        <is>
          <t>S25</t>
        </is>
      </c>
      <c r="B19" s="17" t="inlineStr">
        <is>
          <t>SQL 생성 · 검증</t>
        </is>
      </c>
      <c r="C19" s="17" t="inlineStr">
        <is>
          <t>25-3</t>
        </is>
      </c>
      <c r="D19" s="5" t="inlineStr">
        <is>
          <t>드라이런 · 타임아웃 · 결과 행 수 상한</t>
        </is>
      </c>
      <c r="E19" s="6" t="inlineStr"/>
      <c r="F19" s="5" t="inlineStr">
        <is>
          <t>EXPLAIN으로 비용 확인, 초과 시 거절</t>
        </is>
      </c>
      <c r="G19" s="17" t="inlineStr">
        <is>
          <t>P0</t>
        </is>
      </c>
      <c r="H19" s="18" t="inlineStr">
        <is>
          <t>미확인</t>
        </is>
      </c>
      <c r="I19" s="6" t="inlineStr"/>
    </row>
    <row r="20">
      <c r="A20" s="37" t="inlineStr">
        <is>
          <t>S25</t>
        </is>
      </c>
      <c r="B20" s="17" t="inlineStr">
        <is>
          <t>SQL 생성 · 검증</t>
        </is>
      </c>
      <c r="C20" s="17" t="inlineStr">
        <is>
          <t>25-4</t>
        </is>
      </c>
      <c r="D20" s="5" t="inlineStr">
        <is>
          <t>실패 시 재시도 · 폴백</t>
        </is>
      </c>
      <c r="E20" s="6" t="inlineStr"/>
      <c r="F20" s="5" t="inlineStr">
        <is>
          <t>오류 메시지를 넣어 1회 재생성, 그래도 실패면 비정형 답변 또는 되묻기</t>
        </is>
      </c>
      <c r="G20" s="17" t="inlineStr">
        <is>
          <t>P1</t>
        </is>
      </c>
      <c r="H20" s="18" t="inlineStr">
        <is>
          <t>미확인</t>
        </is>
      </c>
      <c r="I20" s="6" t="inlineStr"/>
    </row>
    <row r="21">
      <c r="A21" s="37" t="inlineStr">
        <is>
          <t>S25</t>
        </is>
      </c>
      <c r="B21" s="17" t="inlineStr">
        <is>
          <t>SQL 생성 · 검증</t>
        </is>
      </c>
      <c r="C21" s="17" t="inlineStr">
        <is>
          <t>25-5</t>
        </is>
      </c>
      <c r="D21" s="5" t="inlineStr">
        <is>
          <t>읽기 전용 계정 · 조회 전용 스키마</t>
        </is>
      </c>
      <c r="E21" s="6" t="inlineStr"/>
      <c r="F21" s="5" t="inlineStr">
        <is>
          <t>권한 자체로 쓰기 차단</t>
        </is>
      </c>
      <c r="G21" s="17" t="inlineStr">
        <is>
          <t>P0</t>
        </is>
      </c>
      <c r="H21" s="18" t="inlineStr">
        <is>
          <t>미확인</t>
        </is>
      </c>
      <c r="I21" s="6" t="inlineStr"/>
    </row>
    <row r="22">
      <c r="A22" s="37" t="inlineStr">
        <is>
          <t>S26</t>
        </is>
      </c>
      <c r="B22" s="17" t="inlineStr">
        <is>
          <t>정형 × 비정형 결합</t>
        </is>
      </c>
      <c r="C22" s="17" t="inlineStr">
        <is>
          <t>26-1</t>
        </is>
      </c>
      <c r="D22" s="5" t="inlineStr">
        <is>
          <t>결합 패턴 선택 (A 수치+설명 / B 문서→검증 / C SQL→요약 / D 센싱)</t>
        </is>
      </c>
      <c r="E22" s="6" t="inlineStr"/>
      <c r="F22" s="5" t="inlineStr">
        <is>
          <t>질문 유형별로 어떤 패턴을 쓸지 고정</t>
        </is>
      </c>
      <c r="G22" s="17" t="inlineStr">
        <is>
          <t>P0</t>
        </is>
      </c>
      <c r="H22" s="18" t="inlineStr">
        <is>
          <t>미확인</t>
        </is>
      </c>
      <c r="I22" s="6" t="inlineStr"/>
    </row>
    <row r="23">
      <c r="A23" s="37" t="inlineStr">
        <is>
          <t>S26</t>
        </is>
      </c>
      <c r="B23" s="17" t="inlineStr">
        <is>
          <t>정형 × 비정형 결합</t>
        </is>
      </c>
      <c r="C23" s="17" t="inlineStr">
        <is>
          <t>26-2</t>
        </is>
      </c>
      <c r="D23" s="5" t="inlineStr">
        <is>
          <t>컨텍스트 포맷 — 표는 Markdown, 표 위에 쿼리 출처 라벨</t>
        </is>
      </c>
      <c r="E23" s="6" t="inlineStr"/>
      <c r="F23" s="5" t="inlineStr">
        <is>
          <t>[DB | 뷰명 | 조건 | 집계 | 조회시각] 부착</t>
        </is>
      </c>
      <c r="G23" s="17" t="inlineStr">
        <is>
          <t>P0</t>
        </is>
      </c>
      <c r="H23" s="18" t="inlineStr">
        <is>
          <t>미확인</t>
        </is>
      </c>
      <c r="I23" s="6" t="inlineStr"/>
    </row>
    <row r="24">
      <c r="A24" s="37" t="inlineStr">
        <is>
          <t>S26</t>
        </is>
      </c>
      <c r="B24" s="17" t="inlineStr">
        <is>
          <t>정형 × 비정형 결합</t>
        </is>
      </c>
      <c r="C24" s="17" t="inlineStr">
        <is>
          <t>26-3</t>
        </is>
      </c>
      <c r="D24" s="5" t="inlineStr">
        <is>
          <t>표 크기 제한 · 요약 규칙 (상위 N행 + 합계)</t>
        </is>
      </c>
      <c r="E24" s="6" t="inlineStr"/>
      <c r="F24" s="5" t="inlineStr">
        <is>
          <t>LLM 토큰 예산 안에서</t>
        </is>
      </c>
      <c r="G24" s="17" t="inlineStr">
        <is>
          <t>P1</t>
        </is>
      </c>
      <c r="H24" s="18" t="inlineStr">
        <is>
          <t>미확인</t>
        </is>
      </c>
      <c r="I24" s="6" t="inlineStr"/>
    </row>
    <row r="25">
      <c r="A25" s="37" t="inlineStr">
        <is>
          <t>S26</t>
        </is>
      </c>
      <c r="B25" s="17" t="inlineStr">
        <is>
          <t>정형 × 비정형 결합</t>
        </is>
      </c>
      <c r="C25" s="17" t="inlineStr">
        <is>
          <t>26-4</t>
        </is>
      </c>
      <c r="D25" s="5" t="inlineStr">
        <is>
          <t>그래프 · 표 산출물 반환 (UI)</t>
        </is>
      </c>
      <c r="E25" s="6" t="inlineStr"/>
      <c r="F25" s="5" t="inlineStr">
        <is>
          <t>숫자는 표로, 설명은 문장으로 분리해 표시</t>
        </is>
      </c>
      <c r="G25" s="17" t="inlineStr">
        <is>
          <t>P2</t>
        </is>
      </c>
      <c r="H25" s="18" t="inlineStr">
        <is>
          <t>미확인</t>
        </is>
      </c>
      <c r="I25" s="6" t="inlineStr"/>
    </row>
    <row r="26">
      <c r="A26" s="37" t="inlineStr">
        <is>
          <t>S27</t>
        </is>
      </c>
      <c r="B26" s="17" t="inlineStr">
        <is>
          <t>수치 정합성 · 신뢰</t>
        </is>
      </c>
      <c r="C26" s="17" t="inlineStr">
        <is>
          <t>27-1</t>
        </is>
      </c>
      <c r="D26" s="5" t="inlineStr">
        <is>
          <t>숫자 출처 표기 — 테이블 · 조건 · 집계식 · 조회 시각</t>
        </is>
      </c>
      <c r="E26" s="6" t="inlineStr"/>
      <c r="F26" s="5" t="inlineStr">
        <is>
          <t>답변의 모든 수치에 출처. 재현 가능해야 함</t>
        </is>
      </c>
      <c r="G26" s="17" t="inlineStr">
        <is>
          <t>P0</t>
        </is>
      </c>
      <c r="H26" s="18" t="inlineStr">
        <is>
          <t>미확인</t>
        </is>
      </c>
      <c r="I26" s="6" t="inlineStr"/>
    </row>
    <row r="27">
      <c r="A27" s="37" t="inlineStr">
        <is>
          <t>S27</t>
        </is>
      </c>
      <c r="B27" s="17" t="inlineStr">
        <is>
          <t>수치 정합성 · 신뢰</t>
        </is>
      </c>
      <c r="C27" s="17" t="inlineStr">
        <is>
          <t>27-2</t>
        </is>
      </c>
      <c r="D27" s="5" t="inlineStr">
        <is>
          <t>DB 수치 vs 문서 수치 충돌 규칙</t>
        </is>
      </c>
      <c r="E27" s="6" t="inlineStr"/>
      <c r="F27" s="5" t="inlineStr">
        <is>
          <t>원칙: DB 우선 + 문서는 시점 · 출처와 함께 병기</t>
        </is>
      </c>
      <c r="G27" s="17" t="inlineStr">
        <is>
          <t>P0</t>
        </is>
      </c>
      <c r="H27" s="18" t="inlineStr">
        <is>
          <t>미확인</t>
        </is>
      </c>
      <c r="I27" s="6" t="inlineStr"/>
    </row>
    <row r="28">
      <c r="A28" s="37" t="inlineStr">
        <is>
          <t>S27</t>
        </is>
      </c>
      <c r="B28" s="17" t="inlineStr">
        <is>
          <t>수치 정합성 · 신뢰</t>
        </is>
      </c>
      <c r="C28" s="17" t="inlineStr">
        <is>
          <t>27-3</t>
        </is>
      </c>
      <c r="D28" s="5" t="inlineStr">
        <is>
          <t>단위 · 통화 · 기간 정규화</t>
        </is>
      </c>
      <c r="E28" s="6" t="inlineStr"/>
      <c r="F28" s="5" t="inlineStr">
        <is>
          <t>EB/TB, USD/KRW, 분기 표기 통일</t>
        </is>
      </c>
      <c r="G28" s="17" t="inlineStr">
        <is>
          <t>P1</t>
        </is>
      </c>
      <c r="H28" s="18" t="inlineStr">
        <is>
          <t>미확인</t>
        </is>
      </c>
      <c r="I28" s="6" t="inlineStr"/>
    </row>
    <row r="29">
      <c r="A29" s="37" t="inlineStr">
        <is>
          <t>S27</t>
        </is>
      </c>
      <c r="B29" s="17" t="inlineStr">
        <is>
          <t>수치 정합성 · 신뢰</t>
        </is>
      </c>
      <c r="C29" s="17" t="inlineStr">
        <is>
          <t>27-4</t>
        </is>
      </c>
      <c r="D29" s="5" t="inlineStr">
        <is>
          <t>스냅샷 · 캐시 정책 (질문 시점 기준 데이터)</t>
        </is>
      </c>
      <c r="E29" s="6" t="inlineStr"/>
      <c r="F29" s="5" t="inlineStr">
        <is>
          <t>같은 질문이 날마다 다른 답을 줄 때의 기준</t>
        </is>
      </c>
      <c r="G29" s="17" t="inlineStr">
        <is>
          <t>P2</t>
        </is>
      </c>
      <c r="H29" s="18" t="inlineStr">
        <is>
          <t>미확인</t>
        </is>
      </c>
      <c r="I29" s="6" t="inlineStr"/>
    </row>
    <row r="30">
      <c r="A30" s="37" t="inlineStr">
        <is>
          <t>S28</t>
        </is>
      </c>
      <c r="B30" s="17" t="inlineStr">
        <is>
          <t>권한 · 보안</t>
        </is>
      </c>
      <c r="C30" s="17" t="inlineStr">
        <is>
          <t>28-1</t>
        </is>
      </c>
      <c r="D30" s="5" t="inlineStr">
        <is>
          <t>사용자별 행 · 열 접근 제어 (제품 · 지역 · 조직)</t>
        </is>
      </c>
      <c r="E30" s="6" t="inlineStr"/>
      <c r="F30" s="5" t="inlineStr">
        <is>
          <t>비정형 ACL과 같은 사용자 권한 체계 사용</t>
        </is>
      </c>
      <c r="G30" s="17" t="inlineStr">
        <is>
          <t>P0</t>
        </is>
      </c>
      <c r="H30" s="18" t="inlineStr">
        <is>
          <t>미확인</t>
        </is>
      </c>
      <c r="I30" s="6" t="inlineStr"/>
    </row>
    <row r="31">
      <c r="A31" s="37" t="inlineStr">
        <is>
          <t>S28</t>
        </is>
      </c>
      <c r="B31" s="17" t="inlineStr">
        <is>
          <t>권한 · 보안</t>
        </is>
      </c>
      <c r="C31" s="17" t="inlineStr">
        <is>
          <t>28-2</t>
        </is>
      </c>
      <c r="D31" s="5" t="inlineStr">
        <is>
          <t>인젝션 차단 · 파라미터 바인딩 · 화이트리스트</t>
        </is>
      </c>
      <c r="E31" s="6" t="inlineStr"/>
      <c r="F31" s="5" t="inlineStr">
        <is>
          <t>생성 SQL을 그대로 실행하지 않음</t>
        </is>
      </c>
      <c r="G31" s="17" t="inlineStr">
        <is>
          <t>P0</t>
        </is>
      </c>
      <c r="H31" s="18" t="inlineStr">
        <is>
          <t>미확인</t>
        </is>
      </c>
      <c r="I31" s="6" t="inlineStr"/>
    </row>
    <row r="32">
      <c r="A32" s="37" t="inlineStr">
        <is>
          <t>S28</t>
        </is>
      </c>
      <c r="B32" s="17" t="inlineStr">
        <is>
          <t>권한 · 보안</t>
        </is>
      </c>
      <c r="C32" s="17" t="inlineStr">
        <is>
          <t>28-3</t>
        </is>
      </c>
      <c r="D32" s="5" t="inlineStr">
        <is>
          <t>대량 조회 · 다운로드 제한</t>
        </is>
      </c>
      <c r="E32" s="6" t="inlineStr"/>
      <c r="F32" s="5" t="inlineStr">
        <is>
          <t>행 수 · 빈도 상한, 초과 시 승인</t>
        </is>
      </c>
      <c r="G32" s="17" t="inlineStr">
        <is>
          <t>P1</t>
        </is>
      </c>
      <c r="H32" s="18" t="inlineStr">
        <is>
          <t>미확인</t>
        </is>
      </c>
      <c r="I32" s="6" t="inlineStr"/>
    </row>
    <row r="33">
      <c r="A33" s="37" t="inlineStr">
        <is>
          <t>S28</t>
        </is>
      </c>
      <c r="B33" s="17" t="inlineStr">
        <is>
          <t>권한 · 보안</t>
        </is>
      </c>
      <c r="C33" s="17" t="inlineStr">
        <is>
          <t>28-4</t>
        </is>
      </c>
      <c r="D33" s="5" t="inlineStr">
        <is>
          <t>감사 로그 — 누가 · 어떤 질문 · 어떤 SQL · 몇 행</t>
        </is>
      </c>
      <c r="E33" s="6" t="inlineStr"/>
      <c r="F33" s="5" t="inlineStr">
        <is>
          <t>비정형 로그와 같은 테이블 체계로</t>
        </is>
      </c>
      <c r="G33" s="17" t="inlineStr">
        <is>
          <t>P0</t>
        </is>
      </c>
      <c r="H33" s="18" t="inlineStr">
        <is>
          <t>미확인</t>
        </is>
      </c>
      <c r="I33" s="6" t="inlineStr"/>
    </row>
    <row r="34">
      <c r="A34" s="37" t="inlineStr">
        <is>
          <t>S29</t>
        </is>
      </c>
      <c r="B34" s="17" t="inlineStr">
        <is>
          <t>평가 · 운영</t>
        </is>
      </c>
      <c r="C34" s="17" t="inlineStr">
        <is>
          <t>29-1</t>
        </is>
      </c>
      <c r="D34" s="5" t="inlineStr">
        <is>
          <t>정형 골든셋 50문항 — 질문 → 정답 SQL 또는 정답 수치</t>
        </is>
      </c>
      <c r="E34" s="6" t="inlineStr"/>
      <c r="F34" s="5" t="inlineStr">
        <is>
          <t>비정형 골든셋과 같은 파일 체계</t>
        </is>
      </c>
      <c r="G34" s="17" t="inlineStr">
        <is>
          <t>P0</t>
        </is>
      </c>
      <c r="H34" s="18" t="inlineStr">
        <is>
          <t>미확인</t>
        </is>
      </c>
      <c r="I34" s="6" t="inlineStr"/>
    </row>
    <row r="35">
      <c r="A35" s="37" t="inlineStr">
        <is>
          <t>S29</t>
        </is>
      </c>
      <c r="B35" s="17" t="inlineStr">
        <is>
          <t>평가 · 운영</t>
        </is>
      </c>
      <c r="C35" s="17" t="inlineStr">
        <is>
          <t>29-2</t>
        </is>
      </c>
      <c r="D35" s="5" t="inlineStr">
        <is>
          <t>지표 — 라우팅 정확도 · SQL 유효율 · 실행결과 정확도 · 혼합 E2E</t>
        </is>
      </c>
      <c r="E35" s="6" t="inlineStr"/>
      <c r="F35" s="5" t="inlineStr">
        <is>
          <t>결과 값이 맞는지(EX)로 판정. SQL 문자열 일치로 보지 않음</t>
        </is>
      </c>
      <c r="G35" s="17" t="inlineStr">
        <is>
          <t>P0</t>
        </is>
      </c>
      <c r="H35" s="18" t="inlineStr">
        <is>
          <t>미확인</t>
        </is>
      </c>
      <c r="I35" s="6" t="inlineStr"/>
    </row>
    <row r="36">
      <c r="A36" s="37" t="inlineStr">
        <is>
          <t>S29</t>
        </is>
      </c>
      <c r="B36" s="17" t="inlineStr">
        <is>
          <t>평가 · 운영</t>
        </is>
      </c>
      <c r="C36" s="17" t="inlineStr">
        <is>
          <t>29-3</t>
        </is>
      </c>
      <c r="D36" s="5" t="inlineStr">
        <is>
          <t>실패 쿼리 로그 → few-shot · 뷰 보강 루프</t>
        </is>
      </c>
      <c r="E36" s="6" t="inlineStr"/>
      <c r="F36" s="5" t="inlineStr">
        <is>
          <t>실패가 반복되는 질문 유형은 뷰로 흡수</t>
        </is>
      </c>
      <c r="G36" s="17" t="inlineStr">
        <is>
          <t>P1</t>
        </is>
      </c>
      <c r="H36" s="18" t="inlineStr">
        <is>
          <t>미확인</t>
        </is>
      </c>
      <c r="I36" s="6" t="inlineStr"/>
    </row>
    <row r="37">
      <c r="A37" s="37" t="inlineStr">
        <is>
          <t>S29</t>
        </is>
      </c>
      <c r="B37" s="17" t="inlineStr">
        <is>
          <t>평가 · 운영</t>
        </is>
      </c>
      <c r="C37" s="17" t="inlineStr">
        <is>
          <t>29-4</t>
        </is>
      </c>
      <c r="D37" s="5" t="inlineStr">
        <is>
          <t>스키마 변경 감지 → 카탈로그 갱신</t>
        </is>
      </c>
      <c r="E37" s="6" t="inlineStr"/>
      <c r="F37" s="5" t="inlineStr">
        <is>
          <t>컬럼 변경 시 프롬프트 · allow-list 자동 갱신</t>
        </is>
      </c>
      <c r="G37" s="17" t="inlineStr">
        <is>
          <t>P1</t>
        </is>
      </c>
      <c r="H37" s="18" t="inlineStr">
        <is>
          <t>미확인</t>
        </is>
      </c>
      <c r="I37" s="6" t="inlineStr"/>
    </row>
  </sheetData>
  <autoFilter ref="A4:I37"/>
  <mergeCells count="2">
    <mergeCell ref="A1:I1"/>
    <mergeCell ref="A2:I2"/>
  </mergeCells>
  <conditionalFormatting sqref="H5:H37">
    <cfRule type="cellIs" priority="1" operator="equal" dxfId="2">
      <formula>"완료"</formula>
    </cfRule>
    <cfRule type="cellIs" priority="2" operator="equal" dxfId="3">
      <formula>"확인중"</formula>
    </cfRule>
    <cfRule type="cellIs" priority="3" operator="equal" dxfId="4">
      <formula>"해당없음"</formula>
    </cfRule>
  </conditionalFormatting>
  <conditionalFormatting sqref="G5:G37">
    <cfRule type="cellIs" priority="4" operator="equal" dxfId="5">
      <formula>"P0"</formula>
    </cfRule>
    <cfRule type="cellIs" priority="5" operator="equal" dxfId="6">
      <formula>"P1"</formula>
    </cfRule>
    <cfRule type="cellIs" priority="6" operator="equal" dxfId="7">
      <formula>"P2"</formula>
    </cfRule>
  </conditionalFormatting>
  <dataValidations count="2">
    <dataValidation sqref="H5:H37" showDropDown="0" showInputMessage="0" showErrorMessage="0" allowBlank="1" type="list">
      <formula1>"미확인,확인중,완료,해당없음"</formula1>
    </dataValidation>
    <dataValidation sqref="G5:G37" showDropDown="0" showInputMessage="0" showErrorMessage="0" allowBlank="1" type="list">
      <formula1>"P0,P1,P2"</formula1>
    </dataValidation>
  </dataValidation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L30"/>
  <sheetViews>
    <sheetView workbookViewId="0">
      <selection activeCell="A1" sqref="A1"/>
    </sheetView>
  </sheetViews>
  <sheetFormatPr baseColWidth="8" defaultRowHeight="15"/>
  <cols>
    <col width="18" customWidth="1" min="1" max="1"/>
    <col width="3" customWidth="1" min="2" max="2"/>
    <col width="20" customWidth="1" min="3" max="3"/>
    <col width="3" customWidth="1" min="4" max="4"/>
    <col width="17" customWidth="1" min="5" max="5"/>
    <col width="3" customWidth="1" min="6" max="6"/>
    <col width="17" customWidth="1" min="7" max="7"/>
    <col width="3" customWidth="1" min="8" max="8"/>
    <col width="17" customWidth="1" min="9" max="9"/>
    <col width="3" customWidth="1" min="10" max="10"/>
    <col width="17" customWidth="1" min="11" max="11"/>
    <col width="3" customWidth="1" min="12" max="12"/>
  </cols>
  <sheetData>
    <row r="1">
      <c r="A1" s="1" t="inlineStr">
        <is>
          <t>정형 × 비정형 결합 패턴 (Phase 3)</t>
        </is>
      </c>
    </row>
    <row r="2">
      <c r="A2" s="2" t="inlineStr">
        <is>
          <t>질문 유형별로 A~D 중 하나를 쓴다 · 색: 회색=입력 · 청록=핵심 · 분홍=거절 · 연두=산출</t>
        </is>
      </c>
    </row>
    <row r="4">
      <c r="A4" s="13" t="inlineStr">
        <is>
          <t>라우팅</t>
        </is>
      </c>
    </row>
    <row r="5" ht="74" customHeight="1">
      <c r="A5" s="29" t="inlineStr">
        <is>
          <t>질문
사용자 입력</t>
        </is>
      </c>
      <c r="B5" s="30" t="inlineStr">
        <is>
          <t>→</t>
        </is>
      </c>
      <c r="C5" s="36" t="inlineStr">
        <is>
          <t>질의 분석
기간 · 엔티티 추출</t>
        </is>
      </c>
      <c r="D5" s="30" t="inlineStr">
        <is>
          <t>→</t>
        </is>
      </c>
      <c r="E5" s="31" t="inlineStr">
        <is>
          <t>라우팅
4갈래 분류</t>
        </is>
      </c>
      <c r="F5" s="30" t="inlineStr">
        <is>
          <t>→</t>
        </is>
      </c>
      <c r="G5" s="31" t="inlineStr">
        <is>
          <t>▸ 정형 · SQL
▸ 비정형 · RAG
▸ 혼합 · SQL + RAG
▸ 불가 · 되묻기</t>
        </is>
      </c>
    </row>
    <row r="7">
      <c r="A7" s="13" t="inlineStr">
        <is>
          <t>패턴 A · 수치 + 설명 (혼합 질문의 기본형)</t>
        </is>
      </c>
      <c r="D7" s="2" t="inlineStr">
        <is>
          <t>"3분기 eSSD 출하량과 그렇게 본 이유는?" — 숫자는 DB, 맥락은 문서에서 가져와 한 답변으로</t>
        </is>
      </c>
    </row>
    <row r="8" ht="56" customHeight="1">
      <c r="A8" s="29" t="inlineStr">
        <is>
          <t>혼합 질문
수치부 + 설명부</t>
        </is>
      </c>
      <c r="B8" s="30" t="inlineStr">
        <is>
          <t>→</t>
        </is>
      </c>
      <c r="C8" s="31" t="inlineStr">
        <is>
          <t>▸ SQL 경로 · 뷰 조회 → 표
▸ RAG 경로 · 하이브리드 검색</t>
        </is>
      </c>
      <c r="D8" s="30" t="inlineStr">
        <is>
          <t>→</t>
        </is>
      </c>
      <c r="E8" s="36" t="inlineStr">
        <is>
          <t>컨텍스트 합치기
표 + 청크 + 출처 라벨</t>
        </is>
      </c>
      <c r="F8" s="30" t="inlineStr">
        <is>
          <t>→</t>
        </is>
      </c>
      <c r="G8" s="33" t="inlineStr">
        <is>
          <t>LLM 답변
수치 출처 + 문서 인용</t>
        </is>
      </c>
    </row>
    <row r="9" ht="83" customHeight="1">
      <c r="A9" s="34" t="inlineStr">
        <is>
          <t>출력 예시</t>
        </is>
      </c>
      <c r="B9" s="35" t="inlineStr">
        <is>
          <t>[DB | V_SALES_MONTHLY | 제품=eSSD, 기간=3Q26 | SUM(출하량) | 2026-09-20 10:12]
| 월 | 출하량(EB) |
| 7월 | 9.8 |
| 8월 | 10.4 |
[문서 3 | 사내보고서 | 2026-09-05 | 3Q 수요 점검] AI 서버 스토리지 확대가 주 요인 …</t>
        </is>
      </c>
    </row>
    <row r="11">
      <c r="A11" s="13" t="inlineStr">
        <is>
          <t>패턴 B · 문서 → DB 검증</t>
        </is>
      </c>
      <c r="D11" s="2" t="inlineStr">
        <is>
          <t>문서에 적힌 수치가 맞는지 DB로 확인한다. 보고서 인용 오류 · 구버전 자료를 걸러낸다</t>
        </is>
      </c>
    </row>
    <row r="12" ht="40" customHeight="1">
      <c r="A12" s="29" t="inlineStr">
        <is>
          <t>질문
문서 기반</t>
        </is>
      </c>
      <c r="B12" s="30" t="inlineStr">
        <is>
          <t>→</t>
        </is>
      </c>
      <c r="C12" s="36" t="inlineStr">
        <is>
          <t>RAG 검색
근거 문서</t>
        </is>
      </c>
      <c r="D12" s="30" t="inlineStr">
        <is>
          <t>→</t>
        </is>
      </c>
      <c r="E12" s="31" t="inlineStr">
        <is>
          <t>수치 · 엔티티 추출
LLM</t>
        </is>
      </c>
      <c r="F12" s="30" t="inlineStr">
        <is>
          <t>→</t>
        </is>
      </c>
      <c r="G12" s="31" t="inlineStr">
        <is>
          <t>SQL 검증 조회
같은 조건으로</t>
        </is>
      </c>
      <c r="H12" s="30" t="inlineStr">
        <is>
          <t>→</t>
        </is>
      </c>
      <c r="I12" s="33" t="inlineStr">
        <is>
          <t>일치 여부 표시
일치 / 차이 / 미확인</t>
        </is>
      </c>
    </row>
    <row r="13" ht="38" customHeight="1">
      <c r="A13" s="34" t="inlineStr">
        <is>
          <t>출력 예시</t>
        </is>
      </c>
      <c r="B13" s="35" t="inlineStr">
        <is>
          <t>문서(2026-09-05): eSSD 수요 120EB
DB(V_DEMAND, 조회 2026-09-20): 118.6EB → 차이 1.4EB (문서가 예측치, DB는 실적 반영)</t>
        </is>
      </c>
    </row>
    <row r="15">
      <c r="A15" s="13" t="inlineStr">
        <is>
          <t>패턴 C · SQL → 요약 + 근거</t>
        </is>
      </c>
      <c r="D15" s="2" t="inlineStr">
        <is>
          <t>"왜 올랐나" — 추이는 DB에서 뽑고, 변화 시점의 근거 문서를 검색해 설명을 붙인다</t>
        </is>
      </c>
    </row>
    <row r="16" ht="40" customHeight="1">
      <c r="A16" s="29" t="inlineStr">
        <is>
          <t>수치 질문
추이 · 변화</t>
        </is>
      </c>
      <c r="B16" s="30" t="inlineStr">
        <is>
          <t>→</t>
        </is>
      </c>
      <c r="C16" s="31" t="inlineStr">
        <is>
          <t>SQL
기간별 집계</t>
        </is>
      </c>
      <c r="D16" s="30" t="inlineStr">
        <is>
          <t>→</t>
        </is>
      </c>
      <c r="E16" s="31" t="inlineStr">
        <is>
          <t>변화 구간 탐지
급증 · 급감 시점</t>
        </is>
      </c>
      <c r="F16" s="30" t="inlineStr">
        <is>
          <t>→</t>
        </is>
      </c>
      <c r="G16" s="36" t="inlineStr">
        <is>
          <t>그 기간 문서 검색
RAG + 기간 필터</t>
        </is>
      </c>
      <c r="H16" s="30" t="inlineStr">
        <is>
          <t>→</t>
        </is>
      </c>
      <c r="I16" s="33" t="inlineStr">
        <is>
          <t>요약
수치 + 원인 후보</t>
        </is>
      </c>
    </row>
    <row r="17" ht="38" customHeight="1">
      <c r="A17" s="34" t="inlineStr">
        <is>
          <t>출력 예시</t>
        </is>
      </c>
      <c r="B17" s="35" t="inlineStr">
        <is>
          <t>[DB] 8월 계약가 +8% (전월 대비)
[근거] 증권사 리포트 2026-08-12: 서버 수요 견조 … / 뉴스 2026-08-09: 경쟁사 감산 발표</t>
        </is>
      </c>
    </row>
    <row r="19">
      <c r="A19" s="13" t="inlineStr">
        <is>
          <t>패턴 D · 센싱 연계 (Phase 2와 결합)</t>
        </is>
      </c>
      <c r="D19" s="2" t="inlineStr">
        <is>
          <t>외부 신호(뉴스)와 내부 지표(DB)를 같은 축에서 비교한다. 외부만 움직이는지, 내부 실적도 따라오는지 구분</t>
        </is>
      </c>
    </row>
    <row r="20" ht="56" customHeight="1">
      <c r="A20" s="29" t="inlineStr">
        <is>
          <t>센싱 축 · 신호
S16 정의</t>
        </is>
      </c>
      <c r="B20" s="30" t="inlineStr">
        <is>
          <t>→</t>
        </is>
      </c>
      <c r="C20" s="31" t="inlineStr">
        <is>
          <t>▸ 외부 · 뉴스 언급량 · 논조
▸ 내부 · DB 지표 추이</t>
        </is>
      </c>
      <c r="D20" s="30" t="inlineStr">
        <is>
          <t>→</t>
        </is>
      </c>
      <c r="E20" s="31" t="inlineStr">
        <is>
          <t>교차 비교
동행 · 선행 · 괴리</t>
        </is>
      </c>
      <c r="F20" s="30" t="inlineStr">
        <is>
          <t>→</t>
        </is>
      </c>
      <c r="G20" s="33" t="inlineStr">
        <is>
          <t>알림 · 리포트
축 점수 + 근거</t>
        </is>
      </c>
    </row>
    <row r="21" ht="23" customHeight="1">
      <c r="A21" s="34" t="inlineStr">
        <is>
          <t>출력 예시</t>
        </is>
      </c>
      <c r="B21" s="35" t="inlineStr">
        <is>
          <t>가격 축: 외부 언급량 ×2.8 (이번 주) / 내부 계약가 +1.2% (같은 주) → 외부 선행, 내부 반영 지연 관찰</t>
        </is>
      </c>
    </row>
    <row r="23">
      <c r="A23" s="13" t="inlineStr">
        <is>
          <t>기존 단계와의 연결</t>
        </is>
      </c>
    </row>
    <row r="24">
      <c r="A24" s="3" t="inlineStr">
        <is>
          <t>기존 단계 (Phase 1 · 2)</t>
        </is>
      </c>
      <c r="B24" s="23" t="n"/>
      <c r="C24" s="3" t="inlineStr">
        <is>
          <t>Phase 3에서</t>
        </is>
      </c>
      <c r="D24" s="23" t="n"/>
      <c r="E24" s="3" t="inlineStr">
        <is>
          <t>무엇이 달라지나</t>
        </is>
      </c>
      <c r="F24" s="24" t="n"/>
      <c r="G24" s="24" t="n"/>
      <c r="H24" s="24" t="n"/>
      <c r="I24" s="24" t="n"/>
      <c r="J24" s="24" t="n"/>
      <c r="K24" s="24" t="n"/>
      <c r="L24" s="23" t="n"/>
    </row>
    <row r="25" ht="30" customHeight="1">
      <c r="A25" s="4" t="inlineStr">
        <is>
          <t>S08 질의 분석 · 분해</t>
        </is>
      </c>
      <c r="B25" s="23" t="n"/>
      <c r="C25" s="5" t="inlineStr">
        <is>
          <t>S24 라우팅으로 확장</t>
        </is>
      </c>
      <c r="D25" s="23" t="n"/>
      <c r="E25" s="5" t="inlineStr">
        <is>
          <t>기간 · 엔티티 추출 결과를 라우팅 판단과 SQL WHERE 절에 함께 사용</t>
        </is>
      </c>
      <c r="F25" s="24" t="n"/>
      <c r="G25" s="24" t="n"/>
      <c r="H25" s="24" t="n"/>
      <c r="I25" s="24" t="n"/>
      <c r="J25" s="24" t="n"/>
      <c r="K25" s="24" t="n"/>
      <c r="L25" s="23" t="n"/>
    </row>
    <row r="26" ht="30" customHeight="1">
      <c r="A26" s="4" t="inlineStr">
        <is>
          <t>S13 컨텍스트 구성</t>
        </is>
      </c>
      <c r="B26" s="23" t="n"/>
      <c r="C26" s="5" t="inlineStr">
        <is>
          <t>S26 결합</t>
        </is>
      </c>
      <c r="D26" s="23" t="n"/>
      <c r="E26" s="5" t="inlineStr">
        <is>
          <t>청크만이 아니라 표(Markdown)와 쿼리 출처 라벨도 컨텍스트에 포함</t>
        </is>
      </c>
      <c r="F26" s="24" t="n"/>
      <c r="G26" s="24" t="n"/>
      <c r="H26" s="24" t="n"/>
      <c r="I26" s="24" t="n"/>
      <c r="J26" s="24" t="n"/>
      <c r="K26" s="24" t="n"/>
      <c r="L26" s="23" t="n"/>
    </row>
    <row r="27" ht="30" customHeight="1">
      <c r="A27" s="4" t="inlineStr">
        <is>
          <t>S14 LLM 답변</t>
        </is>
      </c>
      <c r="B27" s="23" t="n"/>
      <c r="C27" s="5" t="inlineStr">
        <is>
          <t>S27 정합성</t>
        </is>
      </c>
      <c r="D27" s="23" t="n"/>
      <c r="E27" s="5" t="inlineStr">
        <is>
          <t>문장별 인용 규칙에 "수치는 DB 출처 표기"를 추가</t>
        </is>
      </c>
      <c r="F27" s="24" t="n"/>
      <c r="G27" s="24" t="n"/>
      <c r="H27" s="24" t="n"/>
      <c r="I27" s="24" t="n"/>
      <c r="J27" s="24" t="n"/>
      <c r="K27" s="24" t="n"/>
      <c r="L27" s="23" t="n"/>
    </row>
    <row r="28" ht="30" customHeight="1">
      <c r="A28" s="4" t="inlineStr">
        <is>
          <t>S15 평가</t>
        </is>
      </c>
      <c r="B28" s="23" t="n"/>
      <c r="C28" s="5" t="inlineStr">
        <is>
          <t>S29 평가</t>
        </is>
      </c>
      <c r="D28" s="23" t="n"/>
      <c r="E28" s="5" t="inlineStr">
        <is>
          <t>골든셋에 정형 · 혼합 문항 추가, 지표에 실행결과 정확도 추가</t>
        </is>
      </c>
      <c r="F28" s="24" t="n"/>
      <c r="G28" s="24" t="n"/>
      <c r="H28" s="24" t="n"/>
      <c r="I28" s="24" t="n"/>
      <c r="J28" s="24" t="n"/>
      <c r="K28" s="24" t="n"/>
      <c r="L28" s="23" t="n"/>
    </row>
    <row r="29" ht="30" customHeight="1">
      <c r="A29" s="4" t="inlineStr">
        <is>
          <t>S05 메타 · 권한</t>
        </is>
      </c>
      <c r="B29" s="23" t="n"/>
      <c r="C29" s="5" t="inlineStr">
        <is>
          <t>S28 권한</t>
        </is>
      </c>
      <c r="D29" s="23" t="n"/>
      <c r="E29" s="5" t="inlineStr">
        <is>
          <t>비정형 ACL과 정형 행 · 열 권한을 같은 사용자 그룹 체계로</t>
        </is>
      </c>
      <c r="F29" s="24" t="n"/>
      <c r="G29" s="24" t="n"/>
      <c r="H29" s="24" t="n"/>
      <c r="I29" s="24" t="n"/>
      <c r="J29" s="24" t="n"/>
      <c r="K29" s="24" t="n"/>
      <c r="L29" s="23" t="n"/>
    </row>
    <row r="30" ht="30" customHeight="1">
      <c r="A30" s="4" t="inlineStr">
        <is>
          <t>S19 변화 감지 (Phase 2)</t>
        </is>
      </c>
      <c r="B30" s="23" t="n"/>
      <c r="C30" s="5" t="inlineStr">
        <is>
          <t>패턴 D</t>
        </is>
      </c>
      <c r="D30" s="23" t="n"/>
      <c r="E30" s="5" t="inlineStr">
        <is>
          <t>외부 신호와 내부 지표를 같은 축에서 교차 비교</t>
        </is>
      </c>
      <c r="F30" s="24" t="n"/>
      <c r="G30" s="24" t="n"/>
      <c r="H30" s="24" t="n"/>
      <c r="I30" s="24" t="n"/>
      <c r="J30" s="24" t="n"/>
      <c r="K30" s="24" t="n"/>
      <c r="L30" s="23" t="n"/>
    </row>
  </sheetData>
  <mergeCells count="31">
    <mergeCell ref="A24:B24"/>
    <mergeCell ref="A30:B30"/>
    <mergeCell ref="D11:L11"/>
    <mergeCell ref="C24:D24"/>
    <mergeCell ref="C30:D30"/>
    <mergeCell ref="B9:K9"/>
    <mergeCell ref="E24:L24"/>
    <mergeCell ref="C26:D26"/>
    <mergeCell ref="D7:L7"/>
    <mergeCell ref="A2:L2"/>
    <mergeCell ref="C29:D29"/>
    <mergeCell ref="A25:B25"/>
    <mergeCell ref="E29:L29"/>
    <mergeCell ref="C25:D25"/>
    <mergeCell ref="E28:L28"/>
    <mergeCell ref="A27:B27"/>
    <mergeCell ref="A26:B26"/>
    <mergeCell ref="D15:L15"/>
    <mergeCell ref="E30:L30"/>
    <mergeCell ref="C27:D27"/>
    <mergeCell ref="B21:K21"/>
    <mergeCell ref="E27:L27"/>
    <mergeCell ref="E26:L26"/>
    <mergeCell ref="D19:L19"/>
    <mergeCell ref="A29:B29"/>
    <mergeCell ref="B17:K17"/>
    <mergeCell ref="E25:L25"/>
    <mergeCell ref="B13:K13"/>
    <mergeCell ref="A1:L1"/>
    <mergeCell ref="A28:B28"/>
    <mergeCell ref="C28:D28"/>
  </mergeCells>
  <pageMargins left="0.75" right="0.75" top="1" bottom="1" header="0.5" footer="0.5"/>
  <pageSetup orientation="landscape" fitToHeight="0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42" customWidth="1" min="3" max="3"/>
    <col width="11" customWidth="1" min="4" max="4"/>
    <col width="11" customWidth="1" min="5" max="5"/>
    <col width="15" customWidth="1" min="6" max="6"/>
    <col width="30" customWidth="1" min="7" max="7"/>
  </cols>
  <sheetData>
    <row r="1">
      <c r="A1" s="1" t="inlineStr">
        <is>
          <t>스모크 테스트 20문항 — 사내에서 돌리고 결과만 입력</t>
        </is>
      </c>
    </row>
    <row r="2">
      <c r="A2" s="2" t="inlineStr">
        <is>
          <t>질문 원문 · 기대 근거는 smoke_test_20_rev1.html · 실패 유형 ①검색 누락 ②엉뚱한 청크 ③파싱 깨짐 ④답변 환각 ⑤권한 노출</t>
        </is>
      </c>
    </row>
    <row r="4">
      <c r="A4" s="3" t="inlineStr">
        <is>
          <t>No</t>
        </is>
      </c>
      <c r="B4" s="3" t="inlineStr">
        <is>
          <t>유형</t>
        </is>
      </c>
      <c r="C4" s="3" t="inlineStr">
        <is>
          <t>질문 (요약)</t>
        </is>
      </c>
      <c r="D4" s="3" t="inlineStr">
        <is>
          <t>검색 판정</t>
        </is>
      </c>
      <c r="E4" s="3" t="inlineStr">
        <is>
          <t>답변 판정</t>
        </is>
      </c>
      <c r="F4" s="3" t="inlineStr">
        <is>
          <t>실패 유형</t>
        </is>
      </c>
      <c r="G4" s="3" t="inlineStr">
        <is>
          <t>메모</t>
        </is>
      </c>
    </row>
    <row r="5">
      <c r="A5" s="17" t="inlineStr">
        <is>
          <t>SM01</t>
        </is>
      </c>
      <c r="B5" s="17" t="inlineStr">
        <is>
          <t>사실</t>
        </is>
      </c>
      <c r="C5" s="5" t="inlineStr">
        <is>
          <t>마이크론 HBM 생산 확대 계획</t>
        </is>
      </c>
      <c r="D5" s="18" t="inlineStr"/>
      <c r="E5" s="18" t="inlineStr"/>
      <c r="F5" s="18" t="inlineStr"/>
      <c r="G5" s="6" t="inlineStr"/>
    </row>
    <row r="6">
      <c r="A6" s="17" t="inlineStr">
        <is>
          <t>SM02</t>
        </is>
      </c>
      <c r="B6" s="17" t="inlineStr">
        <is>
          <t>사실</t>
        </is>
      </c>
      <c r="C6" s="5" t="inlineStr">
        <is>
          <t>Sufficiency Ratio 정의</t>
        </is>
      </c>
      <c r="D6" s="18" t="inlineStr"/>
      <c r="E6" s="18" t="inlineStr"/>
      <c r="F6" s="18" t="inlineStr"/>
      <c r="G6" s="6" t="inlineStr"/>
    </row>
    <row r="7">
      <c r="A7" s="17" t="inlineStr">
        <is>
          <t>SM03</t>
        </is>
      </c>
      <c r="B7" s="17" t="inlineStr">
        <is>
          <t>사실</t>
        </is>
      </c>
      <c r="C7" s="5" t="inlineStr">
        <is>
          <t>최근 주간회의 액션 아이템</t>
        </is>
      </c>
      <c r="D7" s="18" t="inlineStr"/>
      <c r="E7" s="18" t="inlineStr"/>
      <c r="F7" s="18" t="inlineStr"/>
      <c r="G7" s="6" t="inlineStr"/>
    </row>
    <row r="8">
      <c r="A8" s="17" t="inlineStr">
        <is>
          <t>SM04</t>
        </is>
      </c>
      <c r="B8" s="17" t="inlineStr">
        <is>
          <t>사실</t>
        </is>
      </c>
      <c r="C8" s="5" t="inlineStr">
        <is>
          <t>임원 보고 HBM 리스크 (권한)</t>
        </is>
      </c>
      <c r="D8" s="18" t="inlineStr"/>
      <c r="E8" s="18" t="inlineStr"/>
      <c r="F8" s="18" t="inlineStr"/>
      <c r="G8" s="6" t="inlineStr"/>
    </row>
    <row r="9">
      <c r="A9" s="17" t="inlineStr">
        <is>
          <t>SM05</t>
        </is>
      </c>
      <c r="B9" s="17" t="inlineStr">
        <is>
          <t>수치</t>
        </is>
      </c>
      <c r="C9" s="5" t="inlineStr">
        <is>
          <t>2H26 DRAM 계약가 분기별</t>
        </is>
      </c>
      <c r="D9" s="18" t="inlineStr"/>
      <c r="E9" s="18" t="inlineStr"/>
      <c r="F9" s="18" t="inlineStr"/>
      <c r="G9" s="6" t="inlineStr"/>
    </row>
    <row r="10">
      <c r="A10" s="17" t="inlineStr">
        <is>
          <t>SM06</t>
        </is>
      </c>
      <c r="B10" s="17" t="inlineStr">
        <is>
          <t>수치</t>
        </is>
      </c>
      <c r="C10" s="5" t="inlineStr">
        <is>
          <t>2026 HBM 시장 규모 · 성장률</t>
        </is>
      </c>
      <c r="D10" s="18" t="inlineStr"/>
      <c r="E10" s="18" t="inlineStr"/>
      <c r="F10" s="18" t="inlineStr"/>
      <c r="G10" s="6" t="inlineStr"/>
    </row>
    <row r="11">
      <c r="A11" s="17" t="inlineStr">
        <is>
          <t>SM07</t>
        </is>
      </c>
      <c r="B11" s="17" t="inlineStr">
        <is>
          <t>수치</t>
        </is>
      </c>
      <c r="C11" s="5" t="inlineStr">
        <is>
          <t>당사 eSSD 수요 (EB)</t>
        </is>
      </c>
      <c r="D11" s="18" t="inlineStr"/>
      <c r="E11" s="18" t="inlineStr"/>
      <c r="F11" s="18" t="inlineStr"/>
      <c r="G11" s="6" t="inlineStr"/>
    </row>
    <row r="12">
      <c r="A12" s="17" t="inlineStr">
        <is>
          <t>SM08</t>
        </is>
      </c>
      <c r="B12" s="17" t="inlineStr">
        <is>
          <t>수치</t>
        </is>
      </c>
      <c r="C12" s="5" t="inlineStr">
        <is>
          <t>엔비디아 최근 DC 매출</t>
        </is>
      </c>
      <c r="D12" s="18" t="inlineStr"/>
      <c r="E12" s="18" t="inlineStr"/>
      <c r="F12" s="18" t="inlineStr"/>
      <c r="G12" s="6" t="inlineStr"/>
    </row>
    <row r="13">
      <c r="A13" s="17" t="inlineStr">
        <is>
          <t>SM09</t>
        </is>
      </c>
      <c r="B13" s="17" t="inlineStr">
        <is>
          <t>기간</t>
        </is>
      </c>
      <c r="C13" s="5" t="inlineStr">
        <is>
          <t>최근 2주 CXMT 뉴스</t>
        </is>
      </c>
      <c r="D13" s="18" t="inlineStr"/>
      <c r="E13" s="18" t="inlineStr"/>
      <c r="F13" s="18" t="inlineStr"/>
      <c r="G13" s="6" t="inlineStr"/>
    </row>
    <row r="14">
      <c r="A14" s="17" t="inlineStr">
        <is>
          <t>SM10</t>
        </is>
      </c>
      <c r="B14" s="17" t="inlineStr">
        <is>
          <t>기간</t>
        </is>
      </c>
      <c r="C14" s="5" t="inlineStr">
        <is>
          <t>3Q NAND 전망 상향 증권사</t>
        </is>
      </c>
      <c r="D14" s="18" t="inlineStr"/>
      <c r="E14" s="18" t="inlineStr"/>
      <c r="F14" s="18" t="inlineStr"/>
      <c r="G14" s="6" t="inlineStr"/>
    </row>
    <row r="15">
      <c r="A15" s="17" t="inlineStr">
        <is>
          <t>SM11</t>
        </is>
      </c>
      <c r="B15" s="17" t="inlineStr">
        <is>
          <t>기간</t>
        </is>
      </c>
      <c r="C15" s="5" t="inlineStr">
        <is>
          <t>이번 달 고객 발주 조정 메일 (권한)</t>
        </is>
      </c>
      <c r="D15" s="18" t="inlineStr"/>
      <c r="E15" s="18" t="inlineStr"/>
      <c r="F15" s="18" t="inlineStr"/>
      <c r="G15" s="6" t="inlineStr"/>
    </row>
    <row r="16">
      <c r="A16" s="17" t="inlineStr">
        <is>
          <t>SM12</t>
        </is>
      </c>
      <c r="B16" s="17" t="inlineStr">
        <is>
          <t>종합</t>
        </is>
      </c>
      <c r="C16" s="5" t="inlineStr">
        <is>
          <t>하이퍼스케일러 CapEx 사외 vs 사내</t>
        </is>
      </c>
      <c r="D16" s="18" t="inlineStr"/>
      <c r="E16" s="18" t="inlineStr"/>
      <c r="F16" s="18" t="inlineStr"/>
      <c r="G16" s="6" t="inlineStr"/>
    </row>
    <row r="17">
      <c r="A17" s="17" t="inlineStr">
        <is>
          <t>SM13</t>
        </is>
      </c>
      <c r="B17" s="17" t="inlineStr">
        <is>
          <t>종합</t>
        </is>
      </c>
      <c r="C17" s="5" t="inlineStr">
        <is>
          <t>HBM4 12단 기술 이슈 + 경쟁사 (권한)</t>
        </is>
      </c>
      <c r="D17" s="18" t="inlineStr"/>
      <c r="E17" s="18" t="inlineStr"/>
      <c r="F17" s="18" t="inlineStr"/>
      <c r="G17" s="6" t="inlineStr"/>
    </row>
    <row r="18">
      <c r="A18" s="17" t="inlineStr">
        <is>
          <t>SM14</t>
        </is>
      </c>
      <c r="B18" s="17" t="inlineStr">
        <is>
          <t>종합</t>
        </is>
      </c>
      <c r="C18" s="5" t="inlineStr">
        <is>
          <t>美 수출규제 변경 → 중국 사업</t>
        </is>
      </c>
      <c r="D18" s="18" t="inlineStr"/>
      <c r="E18" s="18" t="inlineStr"/>
      <c r="F18" s="18" t="inlineStr"/>
      <c r="G18" s="6" t="inlineStr"/>
    </row>
    <row r="19">
      <c r="A19" s="17" t="inlineStr">
        <is>
          <t>SM15</t>
        </is>
      </c>
      <c r="B19" s="17" t="inlineStr">
        <is>
          <t>비교</t>
        </is>
      </c>
      <c r="C19" s="5" t="inlineStr">
        <is>
          <t>삼성 vs 하이닉스 HBM 점유율</t>
        </is>
      </c>
      <c r="D19" s="18" t="inlineStr"/>
      <c r="E19" s="18" t="inlineStr"/>
      <c r="F19" s="18" t="inlineStr"/>
      <c r="G19" s="6" t="inlineStr"/>
    </row>
    <row r="20">
      <c r="A20" s="17" t="inlineStr">
        <is>
          <t>SM16</t>
        </is>
      </c>
      <c r="B20" s="17" t="inlineStr">
        <is>
          <t>비교</t>
        </is>
      </c>
      <c r="C20" s="5" t="inlineStr">
        <is>
          <t>사내 vs 임원 보고 NAND 판단 (권한)</t>
        </is>
      </c>
      <c r="D20" s="18" t="inlineStr"/>
      <c r="E20" s="18" t="inlineStr"/>
      <c r="F20" s="18" t="inlineStr"/>
      <c r="G20" s="6" t="inlineStr"/>
    </row>
    <row r="21">
      <c r="A21" s="17" t="inlineStr">
        <is>
          <t>SM17</t>
        </is>
      </c>
      <c r="B21" s="17" t="inlineStr">
        <is>
          <t>비교</t>
        </is>
      </c>
      <c r="C21" s="5" t="inlineStr">
        <is>
          <t>마이크론 vs 삼성 미국 팹</t>
        </is>
      </c>
      <c r="D21" s="18" t="inlineStr"/>
      <c r="E21" s="18" t="inlineStr"/>
      <c r="F21" s="18" t="inlineStr"/>
      <c r="G21" s="6" t="inlineStr"/>
    </row>
    <row r="22">
      <c r="A22" s="17" t="inlineStr">
        <is>
          <t>SM18</t>
        </is>
      </c>
      <c r="B22" s="17" t="inlineStr">
        <is>
          <t>답없음</t>
        </is>
      </c>
      <c r="C22" s="5" t="inlineStr">
        <is>
          <t>2027 HBM 판가 확정치</t>
        </is>
      </c>
      <c r="D22" s="18" t="inlineStr"/>
      <c r="E22" s="18" t="inlineStr"/>
      <c r="F22" s="18" t="inlineStr"/>
      <c r="G22" s="6" t="inlineStr"/>
    </row>
    <row r="23">
      <c r="A23" s="17" t="inlineStr">
        <is>
          <t>SM19</t>
        </is>
      </c>
      <c r="B23" s="17" t="inlineStr">
        <is>
          <t>답없음</t>
        </is>
      </c>
      <c r="C23" s="5" t="inlineStr">
        <is>
          <t>경쟁사 HBM 수율 정확값</t>
        </is>
      </c>
      <c r="D23" s="18" t="inlineStr"/>
      <c r="E23" s="18" t="inlineStr"/>
      <c r="F23" s="18" t="inlineStr"/>
      <c r="G23" s="6" t="inlineStr"/>
    </row>
    <row r="24">
      <c r="A24" s="17" t="inlineStr">
        <is>
          <t>SM20</t>
        </is>
      </c>
      <c r="B24" s="17" t="inlineStr">
        <is>
          <t>답없음</t>
        </is>
      </c>
      <c r="C24" s="5" t="inlineStr">
        <is>
          <t>TSMC DRAM 출하량 (전제 오류)</t>
        </is>
      </c>
      <c r="D24" s="18" t="inlineStr"/>
      <c r="E24" s="18" t="inlineStr"/>
      <c r="F24" s="18" t="inlineStr"/>
      <c r="G24" s="6" t="inlineStr"/>
    </row>
  </sheetData>
  <autoFilter ref="A4:G24"/>
  <mergeCells count="2">
    <mergeCell ref="A2:G2"/>
    <mergeCell ref="A1:G1"/>
  </mergeCells>
  <dataValidations count="3">
    <dataValidation sqref="D5:D24" showDropDown="0" showInputMessage="0" showErrorMessage="0" allowBlank="1" type="list">
      <formula1>"적중,순위 낮음,누락"</formula1>
    </dataValidation>
    <dataValidation sqref="E5:E24" showDropDown="0" showInputMessage="0" showErrorMessage="0" allowBlank="1" type="list">
      <formula1>"정답,부분,오답,자료 없음"</formula1>
    </dataValidation>
    <dataValidation sqref="F5:F24" showDropDown="0" showInputMessage="0" showErrorMessage="0" allowBlank="1" type="list">
      <formula1>"정상,①검색 누락,②엉뚱한 청크,③파싱 깨짐,④답변 환각,⑤권한 노출"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2026-09-21T11:13:09Z</dcterms:created>
  <dcterms:modified xmlns:dcterms="http://purl.org/dc/terms/" xmlns:xsi="http://www.w3.org/2001/XMLSchema-instance" xsi:type="dcterms:W3CDTF">2026-09-21T11:13:09Z</dcterms:modified>
</cp:coreProperties>
</file>