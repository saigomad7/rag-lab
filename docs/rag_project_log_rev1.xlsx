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진행이력" sheetId="2" state="visible" r:id="rId2"/>
    <sheet xmlns:r="http://schemas.openxmlformats.org/officeDocument/2006/relationships" name="2_산출물목록" sheetId="3" state="visible" r:id="rId3"/>
    <sheet xmlns:r="http://schemas.openxmlformats.org/officeDocument/2006/relationships" name="3_파이프라인점검" sheetId="4" state="visible" r:id="rId4"/>
    <sheet xmlns:r="http://schemas.openxmlformats.org/officeDocument/2006/relationships" name="4_골든셋현황" sheetId="5" state="visible" r:id="rId5"/>
    <sheet xmlns:r="http://schemas.openxmlformats.org/officeDocument/2006/relationships" name="5_실험이력" sheetId="6" state="visible" r:id="rId6"/>
    <sheet xmlns:r="http://schemas.openxmlformats.org/officeDocument/2006/relationships" name="6_프리셋비교" sheetId="7" state="visible" r:id="rId7"/>
    <sheet xmlns:r="http://schemas.openxmlformats.org/officeDocument/2006/relationships" name="7_지표현황" sheetId="8" state="visible" r:id="rId8"/>
    <sheet xmlns:r="http://schemas.openxmlformats.org/officeDocument/2006/relationships" name="8_이슈결정" sheetId="9" state="visible" r:id="rId9"/>
    <sheet xmlns:r="http://schemas.openxmlformats.org/officeDocument/2006/relationships" name="9_다음할일" sheetId="10" state="visible" r:id="rId10"/>
  </sheets>
  <definedNames>
    <definedName name="_xlnm._FilterDatabase" localSheetId="1" hidden="1">'1_진행이력'!$A$4:$G$80</definedName>
    <definedName name="_xlnm._FilterDatabase" localSheetId="2" hidden="1">'2_산출물목록'!$A$4:$G$63</definedName>
    <definedName name="_xlnm._FilterDatabase" localSheetId="3" hidden="1">'3_파이프라인점검'!$A$4:$J$204</definedName>
    <definedName name="_xlnm._FilterDatabase" localSheetId="4" hidden="1">'4_골든셋현황'!$A$4:$J$204</definedName>
    <definedName name="_xlnm._FilterDatabase" localSheetId="5" hidden="1">'5_실험이력'!$A$4:$O$204</definedName>
    <definedName name="_xlnm._FilterDatabase" localSheetId="6" hidden="1">'6_프리셋비교'!$A$4:$M$5</definedName>
    <definedName name="_xlnm._FilterDatabase" localSheetId="7" hidden="1">'7_지표현황'!$A$4:$J$5</definedName>
    <definedName name="_xlnm._FilterDatabase" localSheetId="8" hidden="1">'8_이슈결정'!$A$4:$F$40</definedName>
    <definedName name="_xlnm._FilterDatabase" localSheetId="9" hidden="1">'9_다음할일'!$A$4:$F$44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8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color rgb="005C440C"/>
      <sz val="9"/>
    </font>
  </fonts>
  <fills count="6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EEF4F5"/>
        <bgColor rgb="00EEF4F5"/>
      </patternFill>
    </fill>
    <fill>
      <patternFill patternType="solid">
        <fgColor rgb="00F5EAD0"/>
        <bgColor rgb="00F5EAD0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/>
      <top style="thin">
        <color rgb="00BFCACB"/>
      </top>
      <bottom style="thin">
        <color rgb="00BFCACB"/>
      </bottom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top" wrapText="1"/>
    </xf>
    <xf numFmtId="0" fontId="3" fillId="0" borderId="1" pivotButton="0" quotePrefix="0" xfId="0"/>
    <xf numFmtId="1" fontId="4" fillId="4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4" fillId="4" borderId="1" pivotButton="0" quotePrefix="0" xfId="0"/>
    <xf numFmtId="0" fontId="5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pivotButton="0" quotePrefix="0" xfId="0"/>
    <xf numFmtId="165" fontId="4" fillId="4" borderId="1" applyAlignment="1" pivotButton="0" quotePrefix="0" xfId="0">
      <alignment horizontal="center" vertical="center" wrapText="1"/>
    </xf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2" customWidth="1" min="3" max="3"/>
    <col width="40" customWidth="1" min="4" max="4"/>
    <col width="10" customWidth="1" min="5" max="5"/>
  </cols>
  <sheetData>
    <row r="1">
      <c r="A1" s="1" t="inlineStr">
        <is>
          <t>사내 RAG 구축 · 평가 이력 대장 rev.1</t>
        </is>
      </c>
    </row>
    <row r="2">
      <c r="A2" s="2" t="inlineStr">
        <is>
          <t>2026-09-23 · 마켓 인텔리전스 포털용 RAG — 수집 → 적재 → 청킹 → 임베딩 → 인덱싱 → 골든셋 → 평가 → 고도화</t>
        </is>
      </c>
    </row>
    <row r="4">
      <c r="A4" s="3" t="inlineStr">
        <is>
          <t>단계</t>
        </is>
      </c>
      <c r="B4" s="3" t="inlineStr">
        <is>
          <t>이름</t>
        </is>
      </c>
      <c r="C4" s="3" t="inlineStr">
        <is>
          <t>내용</t>
        </is>
      </c>
      <c r="D4" s="3" t="inlineStr">
        <is>
          <t>도구 · 연결 시트</t>
        </is>
      </c>
      <c r="E4" s="3" t="inlineStr">
        <is>
          <t>상태</t>
        </is>
      </c>
    </row>
    <row r="5">
      <c r="A5" s="4" t="inlineStr">
        <is>
          <t>1</t>
        </is>
      </c>
      <c r="B5" s="5" t="inlineStr">
        <is>
          <t>수집 · 파싱</t>
        </is>
      </c>
      <c r="C5" s="6" t="inlineStr">
        <is>
          <t>외부(뉴스 · SNS · 증권사 · 기관) · 내부(보고서 · 메일 · 회의록) → 원본 적재</t>
        </is>
      </c>
      <c r="D5" s="6" t="inlineStr">
        <is>
          <t>-</t>
        </is>
      </c>
      <c r="E5" s="7" t="inlineStr">
        <is>
          <t>완료</t>
        </is>
      </c>
    </row>
    <row r="6">
      <c r="A6" s="4" t="inlineStr">
        <is>
          <t>2</t>
        </is>
      </c>
      <c r="B6" s="5" t="inlineStr">
        <is>
          <t>통합 · 메타</t>
        </is>
      </c>
      <c r="C6" s="6" t="inlineStr">
        <is>
          <t>분산 테이블 → 단일 문서 테이블 · 소스 유형별 메타 설계(공통 컬럼 · META_EXTRA JSON)</t>
        </is>
      </c>
      <c r="D6" s="6" t="inlineStr">
        <is>
          <t>rag_checklist_rev10.xlsx `소스별_컬럼정의`</t>
        </is>
      </c>
      <c r="E6" s="7" t="inlineStr">
        <is>
          <t>진행</t>
        </is>
      </c>
    </row>
    <row r="7">
      <c r="A7" s="4" t="inlineStr">
        <is>
          <t>3</t>
        </is>
      </c>
      <c r="B7" s="5" t="inlineStr">
        <is>
          <t>청킹</t>
        </is>
      </c>
      <c r="C7" s="6" t="inlineStr">
        <is>
          <t>DOC_ID 로 연결되는 청크 테이블 적재</t>
        </is>
      </c>
      <c r="D7" s="6" t="inlineStr">
        <is>
          <t>nb02_parse_chunk</t>
        </is>
      </c>
      <c r="E7" s="7" t="inlineStr">
        <is>
          <t>진행</t>
        </is>
      </c>
    </row>
    <row r="8">
      <c r="A8" s="4" t="inlineStr">
        <is>
          <t>4</t>
        </is>
      </c>
      <c r="B8" s="5" t="inlineStr">
        <is>
          <t>임베딩 · 인덱싱</t>
        </is>
      </c>
      <c r="C8" s="6" t="inlineStr">
        <is>
          <t>BGE-M3 → Milvus (dense + sparse · 스칼라 필터)</t>
        </is>
      </c>
      <c r="D8" s="6" t="inlineStr">
        <is>
          <t>nb04_milvus</t>
        </is>
      </c>
      <c r="E8" s="7" t="inlineStr">
        <is>
          <t>진행</t>
        </is>
      </c>
    </row>
    <row r="9">
      <c r="A9" s="4" t="inlineStr">
        <is>
          <t>5</t>
        </is>
      </c>
      <c r="B9" s="5" t="inlineStr">
        <is>
          <t>적재 검증</t>
        </is>
      </c>
      <c r="C9" s="6" t="inlineStr">
        <is>
          <t>단계별 무결성 점검 — 미달 항목 해소 후 평가 진입</t>
        </is>
      </c>
      <c r="D9" s="6" t="inlineStr">
        <is>
          <t>nb00_pipeline_check → `3_파이프라인점검`</t>
        </is>
      </c>
      <c r="E9" s="7" t="inlineStr">
        <is>
          <t>미착수</t>
        </is>
      </c>
    </row>
    <row r="10">
      <c r="A10" s="4" t="inlineStr">
        <is>
          <t>6</t>
        </is>
      </c>
      <c r="B10" s="5" t="inlineStr">
        <is>
          <t>골든셋</t>
        </is>
      </c>
      <c r="C10" s="6" t="inlineStr">
        <is>
          <t>LLM 으로 질의 · 응답 · 근거 생성 → 자가 검증 → 사람 검수 → 확정</t>
        </is>
      </c>
      <c r="D10" s="6" t="inlineStr">
        <is>
          <t>nb12_golden_llm → `4_골든셋현황`</t>
        </is>
      </c>
      <c r="E10" s="7" t="inlineStr">
        <is>
          <t>미착수</t>
        </is>
      </c>
    </row>
    <row r="11">
      <c r="A11" s="4" t="inlineStr">
        <is>
          <t>7</t>
        </is>
      </c>
      <c r="B11" s="5" t="inlineStr">
        <is>
          <t>정량 평가</t>
        </is>
      </c>
      <c r="C11" s="6" t="inlineStr">
        <is>
          <t>검색(IR) · 생성(RAGAS 계열) 지표 측정 · 합격 판정</t>
        </is>
      </c>
      <c r="D11" s="6" t="inlineStr">
        <is>
          <t>nb06 · nb10 → `7_지표현황`</t>
        </is>
      </c>
      <c r="E11" s="7" t="inlineStr">
        <is>
          <t>미착수</t>
        </is>
      </c>
    </row>
    <row r="12">
      <c r="A12" s="4" t="inlineStr">
        <is>
          <t>8</t>
        </is>
      </c>
      <c r="B12" s="5" t="inlineStr">
        <is>
          <t>고도화</t>
        </is>
      </c>
      <c r="C12" s="6" t="inlineStr">
        <is>
          <t>LangGraph 노드 구성 변경 → 프리셋별 지표 비교 → 개선 폭 정량화</t>
        </is>
      </c>
      <c r="D12" s="6" t="inlineStr">
        <is>
          <t>nb13_langgraph_rag → `5_실험이력` · `6_프리셋비교`</t>
        </is>
      </c>
      <c r="E12" s="7" t="inlineStr">
        <is>
          <t>미착수</t>
        </is>
      </c>
    </row>
    <row r="14">
      <c r="A14" s="8" t="inlineStr">
        <is>
          <t>운영 규칙</t>
        </is>
      </c>
    </row>
    <row r="15">
      <c r="A15" s="5" t="inlineStr">
        <is>
          <t>기입 원칙</t>
        </is>
      </c>
      <c r="B15" s="6" t="inlineStr">
        <is>
          <t>연노랑 칸만 기입 · 회색은 수식 · 회차마다 행 추가(덮어쓰기 금지)</t>
        </is>
      </c>
      <c r="C15" s="9" t="n"/>
      <c r="D15" s="9" t="n"/>
      <c r="E15" s="10" t="n"/>
    </row>
    <row r="16">
      <c r="A16" s="5" t="inlineStr">
        <is>
          <t>측정 성립 조건</t>
        </is>
      </c>
      <c r="B16" s="6" t="inlineStr">
        <is>
          <t>원본 적재 → 파싱 → 청킹 → 인덱싱 완료 구간만 평가 대상 · 미적재 문항은 수집 과제로 분리</t>
        </is>
      </c>
      <c r="C16" s="9" t="n"/>
      <c r="D16" s="9" t="n"/>
      <c r="E16" s="10" t="n"/>
    </row>
    <row r="17">
      <c r="A17" s="5" t="inlineStr">
        <is>
          <t>실험 규칙</t>
        </is>
      </c>
      <c r="B17" s="6" t="inlineStr">
        <is>
          <t>회차당 설정 1개만 변경 · 평가셋 버전 고정 · 차이가 표본오차보다 클 때만 개선 인정</t>
        </is>
      </c>
      <c r="C17" s="9" t="n"/>
      <c r="D17" s="9" t="n"/>
      <c r="E17" s="10" t="n"/>
    </row>
    <row r="18">
      <c r="A18" s="5" t="inlineStr">
        <is>
          <t>파일 위치</t>
        </is>
      </c>
      <c r="B18" s="6" t="inlineStr">
        <is>
          <t>코드 = rag_lab/ · 문서 = rag_lab/docs/ · 실행 결과 = rag_lab/out/</t>
        </is>
      </c>
      <c r="C18" s="9" t="n"/>
      <c r="D18" s="9" t="n"/>
      <c r="E18" s="10" t="n"/>
    </row>
    <row r="19">
      <c r="A19" s="5" t="inlineStr">
        <is>
          <t>실행 환경</t>
        </is>
      </c>
      <c r="B19" s="6" t="inlineStr">
        <is>
          <t>Windows + Spyder · # %% 셀 단위 실행 · 결과는 Variable Explorer 에서 DataFrame 확인</t>
        </is>
      </c>
      <c r="C19" s="9" t="n"/>
      <c r="D19" s="9" t="n"/>
      <c r="E19" s="10" t="n"/>
    </row>
  </sheetData>
  <mergeCells count="5">
    <mergeCell ref="B17:E17"/>
    <mergeCell ref="B18:E18"/>
    <mergeCell ref="B16:E16"/>
    <mergeCell ref="B15:E15"/>
    <mergeCell ref="B19:E19"/>
  </mergeCells>
  <dataValidations count="1">
    <dataValidation sqref="E5:E12" showDropDown="0" showInputMessage="0" showErrorMessage="0" allowBlank="1" type="list">
      <formula1>"완료,진행,미착수,보류"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58" customWidth="1" min="4" max="4"/>
    <col width="46" customWidth="1" min="5" max="5"/>
    <col width="8" customWidth="1" min="6" max="6"/>
    <col width="34" customWidth="1" min="7" max="7"/>
  </cols>
  <sheetData>
    <row r="1">
      <c r="A1" s="11" t="inlineStr">
        <is>
          <t>1. 진행 이력</t>
        </is>
      </c>
    </row>
    <row r="2">
      <c r="A2" s="2" t="inlineStr">
        <is>
          <t>착수부터의 요청 · 결정 · 산출물 · 신규 행은 아래에 추가</t>
        </is>
      </c>
    </row>
    <row r="4">
      <c r="A4" s="3" t="inlineStr">
        <is>
          <t>일자</t>
        </is>
      </c>
      <c r="B4" s="3" t="inlineStr">
        <is>
          <t>회차</t>
        </is>
      </c>
      <c r="C4" s="3" t="inlineStr">
        <is>
          <t>구분</t>
        </is>
      </c>
      <c r="D4" s="3" t="inlineStr">
        <is>
          <t>요청 · 결정</t>
        </is>
      </c>
      <c r="E4" s="3" t="inlineStr">
        <is>
          <t>산출물</t>
        </is>
      </c>
      <c r="F4" s="3" t="inlineStr">
        <is>
          <t>상태</t>
        </is>
      </c>
      <c r="G4" s="3" t="inlineStr">
        <is>
          <t>사내 메모</t>
        </is>
      </c>
    </row>
    <row r="5">
      <c r="A5" s="4" t="inlineStr">
        <is>
          <t>2026-09-18</t>
        </is>
      </c>
      <c r="B5" s="4" t="inlineStr">
        <is>
          <t>#1</t>
        </is>
      </c>
      <c r="C5" s="4" t="inlineStr">
        <is>
          <t>진단</t>
        </is>
      </c>
      <c r="D5" s="6" t="inlineStr">
        <is>
          <t>구축된 RAG 워크플로 적정성 · 수준 진단 요청 (평가 이력 없음)</t>
        </is>
      </c>
      <c r="E5" s="6" t="inlineStr">
        <is>
          <t>1차 진단 · 작업 노트</t>
        </is>
      </c>
      <c r="F5" s="4" t="inlineStr">
        <is>
          <t>완료</t>
        </is>
      </c>
      <c r="G5" s="12" t="n"/>
    </row>
    <row r="6">
      <c r="A6" s="4" t="inlineStr">
        <is>
          <t>2026-09-18</t>
        </is>
      </c>
      <c r="B6" s="4" t="inlineStr">
        <is>
          <t>#2</t>
        </is>
      </c>
      <c r="C6" s="4" t="inlineStr">
        <is>
          <t>문서</t>
        </is>
      </c>
      <c r="D6" s="6" t="inlineStr">
        <is>
          <t>정리본 HTML 요청</t>
        </is>
      </c>
      <c r="E6" s="6" t="inlineStr">
        <is>
          <t>rag_diagnosis_rev1.html</t>
        </is>
      </c>
      <c r="F6" s="4" t="inlineStr">
        <is>
          <t>완료</t>
        </is>
      </c>
      <c r="G6" s="12" t="n"/>
    </row>
    <row r="7">
      <c r="A7" s="4" t="inlineStr">
        <is>
          <t>2026-09-18</t>
        </is>
      </c>
      <c r="B7" s="4" t="inlineStr">
        <is>
          <t>#3</t>
        </is>
      </c>
      <c r="C7" s="4" t="inlineStr">
        <is>
          <t>문서</t>
        </is>
      </c>
      <c r="D7" s="6" t="inlineStr">
        <is>
          <t>단계별 체크리스트 · 옵션 제시 요청</t>
        </is>
      </c>
      <c r="E7" s="6" t="inlineStr">
        <is>
          <t>rag_quest_board_rev1.html (32 퀘스트)</t>
        </is>
      </c>
      <c r="F7" s="4" t="inlineStr">
        <is>
          <t>완료</t>
        </is>
      </c>
      <c r="G7" s="12" t="n"/>
    </row>
    <row r="8">
      <c r="A8" s="4" t="inlineStr">
        <is>
          <t>2026-09-18</t>
        </is>
      </c>
      <c r="B8" s="4" t="inlineStr">
        <is>
          <t>#4</t>
        </is>
      </c>
      <c r="C8" s="4" t="inlineStr">
        <is>
          <t>설계</t>
        </is>
      </c>
      <c r="D8" s="6" t="inlineStr">
        <is>
          <t>외부 설계안 대조 → 최적안 도출</t>
        </is>
      </c>
      <c r="E8" s="6" t="inlineStr">
        <is>
          <t>rag_design_guide_rev1.html</t>
        </is>
      </c>
      <c r="F8" s="4" t="inlineStr">
        <is>
          <t>완료</t>
        </is>
      </c>
      <c r="G8" s="12" t="n"/>
    </row>
    <row r="9">
      <c r="A9" s="4" t="inlineStr">
        <is>
          <t>2026-09-18</t>
        </is>
      </c>
      <c r="B9" s="4" t="inlineStr">
        <is>
          <t>#5</t>
        </is>
      </c>
      <c r="C9" s="4" t="inlineStr">
        <is>
          <t>설계</t>
        </is>
      </c>
      <c r="D9" s="6" t="inlineStr">
        <is>
          <t>재검토 · 개선점 R1~R8</t>
        </is>
      </c>
      <c r="E9" s="6" t="inlineStr">
        <is>
          <t>design_guide_rev2 · quest_board_rev2</t>
        </is>
      </c>
      <c r="F9" s="4" t="inlineStr">
        <is>
          <t>완료</t>
        </is>
      </c>
      <c r="G9" s="12" t="n"/>
    </row>
    <row r="10">
      <c r="A10" s="4" t="inlineStr">
        <is>
          <t>2026-09-18</t>
        </is>
      </c>
      <c r="B10" s="4" t="inlineStr">
        <is>
          <t>#6</t>
        </is>
      </c>
      <c r="C10" s="4" t="inlineStr">
        <is>
          <t>문서</t>
        </is>
      </c>
      <c r="D10" s="6" t="inlineStr">
        <is>
          <t>T2 포맷 체크리스트</t>
        </is>
      </c>
      <c r="E10" s="6" t="inlineStr">
        <is>
          <t>rag_checklist_rev1.html</t>
        </is>
      </c>
      <c r="F10" s="4" t="inlineStr">
        <is>
          <t>완료</t>
        </is>
      </c>
      <c r="G10" s="12" t="n"/>
    </row>
    <row r="11">
      <c r="A11" s="4" t="inlineStr">
        <is>
          <t>2026-09-18</t>
        </is>
      </c>
      <c r="B11" s="4" t="inlineStr">
        <is>
          <t>#7</t>
        </is>
      </c>
      <c r="C11" s="4" t="inlineStr">
        <is>
          <t>범위</t>
        </is>
      </c>
      <c r="D11" s="6" t="inlineStr">
        <is>
          <t>Phase 1 = RAG 평가 · 개선 / Phase 2 = 마켓 센싱 · RRF 와 MMR 위치 정리</t>
        </is>
      </c>
      <c r="E11" s="6" t="inlineStr">
        <is>
          <t>방향 확정</t>
        </is>
      </c>
      <c r="F11" s="4" t="inlineStr">
        <is>
          <t>완료</t>
        </is>
      </c>
      <c r="G11" s="12" t="n"/>
    </row>
    <row r="12">
      <c r="A12" s="4" t="inlineStr">
        <is>
          <t>2026-09-18</t>
        </is>
      </c>
      <c r="B12" s="4" t="inlineStr">
        <is>
          <t>#8</t>
        </is>
      </c>
      <c r="C12" s="4" t="inlineStr">
        <is>
          <t>문서</t>
        </is>
      </c>
      <c r="D12" s="6" t="inlineStr">
        <is>
          <t>파이프라인 단계별 체크리스트(적재 포함) · 데이터프레임 형식</t>
        </is>
      </c>
      <c r="E12" s="6" t="inlineStr">
        <is>
          <t>rag_stage_checklist_rev1.html (21단계)</t>
        </is>
      </c>
      <c r="F12" s="4" t="inlineStr">
        <is>
          <t>완료</t>
        </is>
      </c>
      <c r="G12" s="12" t="n"/>
    </row>
    <row r="13">
      <c r="A13" s="4" t="inlineStr">
        <is>
          <t>2026-09-18</t>
        </is>
      </c>
      <c r="B13" s="4" t="inlineStr">
        <is>
          <t>#9</t>
        </is>
      </c>
      <c r="C13" s="4" t="inlineStr">
        <is>
          <t>문서</t>
        </is>
      </c>
      <c r="D13" s="6" t="inlineStr">
        <is>
          <t>도식 보강 요청</t>
        </is>
      </c>
      <c r="E13" s="6" t="inlineStr">
        <is>
          <t>stage_checklist_rev2 (SVG 6장)</t>
        </is>
      </c>
      <c r="F13" s="4" t="inlineStr">
        <is>
          <t>완료</t>
        </is>
      </c>
      <c r="G13" s="12" t="n"/>
    </row>
    <row r="14">
      <c r="A14" s="4" t="inlineStr">
        <is>
          <t>2026-09-19</t>
        </is>
      </c>
      <c r="B14" s="4" t="inlineStr">
        <is>
          <t>#10</t>
        </is>
      </c>
      <c r="C14" s="4" t="inlineStr">
        <is>
          <t>문서</t>
        </is>
      </c>
      <c r="D14" s="6" t="inlineStr">
        <is>
          <t>설계 가이드 · 퀘스트 보드 rev3</t>
        </is>
      </c>
      <c r="E14" s="6" t="inlineStr">
        <is>
          <t>design_guide_rev3 · quest_board_rev3</t>
        </is>
      </c>
      <c r="F14" s="4" t="inlineStr">
        <is>
          <t>완료</t>
        </is>
      </c>
      <c r="G14" s="12" t="n"/>
    </row>
    <row r="15">
      <c r="A15" s="4" t="inlineStr">
        <is>
          <t>2026-09-19</t>
        </is>
      </c>
      <c r="B15" s="4" t="inlineStr">
        <is>
          <t>#11</t>
        </is>
      </c>
      <c r="C15" s="4" t="inlineStr">
        <is>
          <t>제약</t>
        </is>
      </c>
      <c r="D15" s="6" t="inlineStr">
        <is>
          <t>모바일 · 사내 반입 → 정적 HTML 전환(스크립트 0)</t>
        </is>
      </c>
      <c r="E15" s="6" t="inlineStr">
        <is>
          <t>stage_rev3 · quest_rev4 · guide_rev4</t>
        </is>
      </c>
      <c r="F15" s="4" t="inlineStr">
        <is>
          <t>완료</t>
        </is>
      </c>
      <c r="G15" s="12" t="n"/>
    </row>
    <row r="16">
      <c r="A16" s="4" t="inlineStr">
        <is>
          <t>2026-09-19</t>
        </is>
      </c>
      <c r="B16" s="4" t="inlineStr">
        <is>
          <t>#12</t>
        </is>
      </c>
      <c r="C16" s="4" t="inlineStr">
        <is>
          <t>확인</t>
        </is>
      </c>
      <c r="D16" s="6" t="inlineStr">
        <is>
          <t>수집 현황 확인값 반영 · 스모크 20문항 작성</t>
        </is>
      </c>
      <c r="E16" s="6" t="inlineStr">
        <is>
          <t>smoke_test_20_rev1.html</t>
        </is>
      </c>
      <c r="F16" s="4" t="inlineStr">
        <is>
          <t>완료</t>
        </is>
      </c>
      <c r="G16" s="12" t="n"/>
    </row>
    <row r="17">
      <c r="A17" s="4" t="inlineStr">
        <is>
          <t>2026-09-19</t>
        </is>
      </c>
      <c r="B17" s="4" t="inlineStr">
        <is>
          <t>#13</t>
        </is>
      </c>
      <c r="C17" s="4" t="inlineStr">
        <is>
          <t>문서</t>
        </is>
      </c>
      <c r="D17" s="6" t="inlineStr">
        <is>
          <t>스프레드시트형 체크리스트</t>
        </is>
      </c>
      <c r="E17" s="6" t="inlineStr">
        <is>
          <t>rag_checklist_sheet_rev1.html</t>
        </is>
      </c>
      <c r="F17" s="4" t="inlineStr">
        <is>
          <t>완료</t>
        </is>
      </c>
      <c r="G17" s="12" t="n"/>
    </row>
    <row r="18">
      <c r="A18" s="4" t="inlineStr">
        <is>
          <t>2026-09-19</t>
        </is>
      </c>
      <c r="B18" s="4" t="inlineStr">
        <is>
          <t>#14</t>
        </is>
      </c>
      <c r="C18" s="4" t="inlineStr">
        <is>
          <t>설계</t>
        </is>
      </c>
      <c r="D18" s="6" t="inlineStr">
        <is>
          <t>소스 유형별 처리 구분</t>
        </is>
      </c>
      <c r="E18" s="6" t="inlineStr">
        <is>
          <t>sheet_rev2 · sources_data.py</t>
        </is>
      </c>
      <c r="F18" s="4" t="inlineStr">
        <is>
          <t>완료</t>
        </is>
      </c>
      <c r="G18" s="12" t="n"/>
    </row>
    <row r="19">
      <c r="A19" s="4" t="inlineStr">
        <is>
          <t>2026-09-19</t>
        </is>
      </c>
      <c r="B19" s="4" t="inlineStr">
        <is>
          <t>#15</t>
        </is>
      </c>
      <c r="C19" s="4" t="inlineStr">
        <is>
          <t>설계</t>
        </is>
      </c>
      <c r="D19" s="6" t="inlineStr">
        <is>
          <t>소스별 파싱 · 청킹 판단 기준 도식</t>
        </is>
      </c>
      <c r="E19" s="6" t="inlineStr">
        <is>
          <t>sheet_rev3</t>
        </is>
      </c>
      <c r="F19" s="4" t="inlineStr">
        <is>
          <t>완료</t>
        </is>
      </c>
      <c r="G19" s="12" t="n"/>
    </row>
    <row r="20">
      <c r="A20" s="4" t="inlineStr">
        <is>
          <t>2026-09-19</t>
        </is>
      </c>
      <c r="B20" s="4" t="inlineStr">
        <is>
          <t>#16</t>
        </is>
      </c>
      <c r="C20" s="4" t="inlineStr">
        <is>
          <t>산출</t>
        </is>
      </c>
      <c r="D20" s="6" t="inlineStr">
        <is>
          <t>엑셀 병행 요청</t>
        </is>
      </c>
      <c r="E20" s="6" t="inlineStr">
        <is>
          <t>rag_checklist_rev3.xlsx</t>
        </is>
      </c>
      <c r="F20" s="4" t="inlineStr">
        <is>
          <t>완료</t>
        </is>
      </c>
      <c r="G20" s="12" t="n"/>
    </row>
    <row r="21">
      <c r="A21" s="4" t="inlineStr">
        <is>
          <t>2026-09-19</t>
        </is>
      </c>
      <c r="B21" s="4" t="inlineStr">
        <is>
          <t>#17</t>
        </is>
      </c>
      <c r="C21" s="4" t="inlineStr">
        <is>
          <t>판단</t>
        </is>
      </c>
      <c r="D21" s="6" t="inlineStr">
        <is>
          <t>현 수준 점수 추정 (측정 아님)</t>
        </is>
      </c>
      <c r="E21" s="6" t="inlineStr">
        <is>
          <t>현 40~50 → 개선 후 70~78 추정</t>
        </is>
      </c>
      <c r="F21" s="4" t="inlineStr">
        <is>
          <t>완료</t>
        </is>
      </c>
      <c r="G21" s="12" t="n"/>
    </row>
    <row r="22">
      <c r="A22" s="4" t="inlineStr">
        <is>
          <t>2026-09-19</t>
        </is>
      </c>
      <c r="B22" s="4" t="inlineStr">
        <is>
          <t>#18</t>
        </is>
      </c>
      <c r="C22" s="4" t="inlineStr">
        <is>
          <t>코드</t>
        </is>
      </c>
      <c r="D22" s="6" t="inlineStr">
        <is>
          <t>Spyder 셀 단위 실행 코드 요청</t>
        </is>
      </c>
      <c r="E22" s="6" t="inlineStr">
        <is>
          <t>rag_lab/ (6 노트북 · 샘플 모드)</t>
        </is>
      </c>
      <c r="F22" s="4" t="inlineStr">
        <is>
          <t>완료</t>
        </is>
      </c>
      <c r="G22" s="12" t="n"/>
    </row>
    <row r="23">
      <c r="A23" s="4" t="inlineStr">
        <is>
          <t>2026-09-19</t>
        </is>
      </c>
      <c r="B23" s="4" t="inlineStr">
        <is>
          <t>#19</t>
        </is>
      </c>
      <c r="C23" s="4" t="inlineStr">
        <is>
          <t>환경</t>
        </is>
      </c>
      <c r="D23" s="6" t="inlineStr">
        <is>
          <t>사내 = Windows + Spyder 대응</t>
        </is>
      </c>
      <c r="E23" s="6" t="inlineStr">
        <is>
          <t>BOM · CRLF · cp949 · 엑셀 잠김 처리</t>
        </is>
      </c>
      <c r="F23" s="4" t="inlineStr">
        <is>
          <t>완료</t>
        </is>
      </c>
      <c r="G23" s="12" t="n"/>
    </row>
    <row r="24">
      <c r="A24" s="4" t="inlineStr">
        <is>
          <t>2026-09-20</t>
        </is>
      </c>
      <c r="B24" s="4" t="inlineStr">
        <is>
          <t>#20</t>
        </is>
      </c>
      <c r="C24" s="4" t="inlineStr">
        <is>
          <t>배포</t>
        </is>
      </c>
      <c r="D24" s="6" t="inlineStr">
        <is>
          <t>GitHub public 업로드</t>
        </is>
      </c>
      <c r="E24" s="6" t="inlineStr">
        <is>
          <t>github.com/saigomad7/rag-lab</t>
        </is>
      </c>
      <c r="F24" s="4" t="inlineStr">
        <is>
          <t>완료</t>
        </is>
      </c>
      <c r="G24" s="12" t="n"/>
    </row>
    <row r="25">
      <c r="A25" s="4" t="inlineStr">
        <is>
          <t>2026-09-20</t>
        </is>
      </c>
      <c r="B25" s="4" t="inlineStr">
        <is>
          <t>#21</t>
        </is>
      </c>
      <c r="C25" s="4" t="inlineStr">
        <is>
          <t>설계</t>
        </is>
      </c>
      <c r="D25" s="6" t="inlineStr">
        <is>
          <t>Phase 3 정형 데이터 연계 정의</t>
        </is>
      </c>
      <c r="E25" s="6" t="inlineStr">
        <is>
          <t>S22~S29 · 결합 패턴 A~D · sheet_rev4</t>
        </is>
      </c>
      <c r="F25" s="4" t="inlineStr">
        <is>
          <t>완료</t>
        </is>
      </c>
      <c r="G25" s="12" t="n"/>
    </row>
    <row r="26">
      <c r="A26" s="4" t="inlineStr">
        <is>
          <t>2026-09-20</t>
        </is>
      </c>
      <c r="B26" s="4" t="inlineStr">
        <is>
          <t>#22</t>
        </is>
      </c>
      <c r="C26" s="4" t="inlineStr">
        <is>
          <t>코드</t>
        </is>
      </c>
      <c r="D26" s="6" t="inlineStr">
        <is>
          <t>지표 정의서 양식 · SQL 라우터</t>
        </is>
      </c>
      <c r="E26" s="6" t="inlineStr">
        <is>
          <t>metric_catalog_template · lab_sql · nb07</t>
        </is>
      </c>
      <c r="F26" s="4" t="inlineStr">
        <is>
          <t>완료</t>
        </is>
      </c>
      <c r="G26" s="12" t="n"/>
    </row>
    <row r="27">
      <c r="A27" s="4" t="inlineStr">
        <is>
          <t>2026-09-20</t>
        </is>
      </c>
      <c r="B27" s="4" t="inlineStr">
        <is>
          <t>#23</t>
        </is>
      </c>
      <c r="C27" s="4" t="inlineStr">
        <is>
          <t>문서</t>
        </is>
      </c>
      <c r="D27" s="6" t="inlineStr">
        <is>
          <t>혼합 질의 처리 흐름 도식</t>
        </is>
      </c>
      <c r="E27" s="6" t="inlineStr">
        <is>
          <t>query_flow_example_rev1</t>
        </is>
      </c>
      <c r="F27" s="4" t="inlineStr">
        <is>
          <t>완료</t>
        </is>
      </c>
      <c r="G27" s="12" t="n"/>
    </row>
    <row r="28">
      <c r="A28" s="4" t="inlineStr">
        <is>
          <t>2026-09-20</t>
        </is>
      </c>
      <c r="B28" s="4" t="inlineStr">
        <is>
          <t>#24</t>
        </is>
      </c>
      <c r="C28" s="4" t="inlineStr">
        <is>
          <t>문서</t>
        </is>
      </c>
      <c r="D28" s="6" t="inlineStr">
        <is>
          <t>지표 정의서 작성 예시 부록</t>
        </is>
      </c>
      <c r="E28" s="6" t="inlineStr">
        <is>
          <t>query_flow_example_rev2</t>
        </is>
      </c>
      <c r="F28" s="4" t="inlineStr">
        <is>
          <t>완료</t>
        </is>
      </c>
      <c r="G28" s="12" t="n"/>
    </row>
    <row r="29">
      <c r="A29" s="4" t="inlineStr">
        <is>
          <t>2026-09-21</t>
        </is>
      </c>
      <c r="B29" s="4" t="inlineStr">
        <is>
          <t>#25</t>
        </is>
      </c>
      <c r="C29" s="4" t="inlineStr">
        <is>
          <t>배포</t>
        </is>
      </c>
      <c r="D29" s="6" t="inlineStr">
        <is>
          <t>문서 일체 공개 저장소 반영</t>
        </is>
      </c>
      <c r="E29" s="6" t="inlineStr">
        <is>
          <t>docs/ · docs/src/</t>
        </is>
      </c>
      <c r="F29" s="4" t="inlineStr">
        <is>
          <t>완료</t>
        </is>
      </c>
      <c r="G29" s="12" t="n"/>
    </row>
    <row r="30">
      <c r="A30" s="4" t="inlineStr">
        <is>
          <t>2026-09-21</t>
        </is>
      </c>
      <c r="B30" s="4" t="inlineStr">
        <is>
          <t>#26</t>
        </is>
      </c>
      <c r="C30" s="4" t="inlineStr">
        <is>
          <t>설계</t>
        </is>
      </c>
      <c r="D30" s="6" t="inlineStr">
        <is>
          <t>소스별 컬럼 정의서(샘플 포함)</t>
        </is>
      </c>
      <c r="E30" s="6" t="inlineStr">
        <is>
          <t>columns_data.py · sheet_rev5 · xlsx_rev5</t>
        </is>
      </c>
      <c r="F30" s="4" t="inlineStr">
        <is>
          <t>완료</t>
        </is>
      </c>
      <c r="G30" s="12" t="n"/>
    </row>
    <row r="31">
      <c r="A31" s="4" t="inlineStr">
        <is>
          <t>2026-09-21</t>
        </is>
      </c>
      <c r="B31" s="4" t="inlineStr">
        <is>
          <t>#27</t>
        </is>
      </c>
      <c r="C31" s="4" t="inlineStr">
        <is>
          <t>설계</t>
        </is>
      </c>
      <c r="D31" s="6" t="inlineStr">
        <is>
          <t>메타 JSON(META_EXTRA · TAGS · ACL) 저장 위치 반영</t>
        </is>
      </c>
      <c r="E31" s="6" t="inlineStr">
        <is>
          <t>sheet_rev6 · JSON_스키마 시트</t>
        </is>
      </c>
      <c r="F31" s="4" t="inlineStr">
        <is>
          <t>완료</t>
        </is>
      </c>
      <c r="G31" s="12" t="n"/>
    </row>
    <row r="32">
      <c r="A32" s="4" t="inlineStr">
        <is>
          <t>2026-09-21</t>
        </is>
      </c>
      <c r="B32" s="4" t="inlineStr">
        <is>
          <t>#28</t>
        </is>
      </c>
      <c r="C32" s="4" t="inlineStr">
        <is>
          <t>보완</t>
        </is>
      </c>
      <c r="D32" s="6" t="inlineStr">
        <is>
          <t>본문 · 요약 컬럼 누락 지적 반영</t>
        </is>
      </c>
      <c r="E32" s="6" t="inlineStr">
        <is>
          <t>sheet_rev7 (본문 14 · 청크 2 컬럼 추가)</t>
        </is>
      </c>
      <c r="F32" s="4" t="inlineStr">
        <is>
          <t>완료</t>
        </is>
      </c>
      <c r="G32" s="12" t="n"/>
    </row>
    <row r="33">
      <c r="A33" s="4" t="inlineStr">
        <is>
          <t>2026-09-22</t>
        </is>
      </c>
      <c r="B33" s="4" t="inlineStr">
        <is>
          <t>#29</t>
        </is>
      </c>
      <c r="C33" s="4" t="inlineStr">
        <is>
          <t>문서</t>
        </is>
      </c>
      <c r="D33" s="6" t="inlineStr">
        <is>
          <t>문서체 개조식 전환</t>
        </is>
      </c>
      <c r="E33" s="6" t="inlineStr">
        <is>
          <t>sheet_rev8 · xlsx_rev8</t>
        </is>
      </c>
      <c r="F33" s="4" t="inlineStr">
        <is>
          <t>완료</t>
        </is>
      </c>
      <c r="G33" s="12" t="n"/>
    </row>
    <row r="34">
      <c r="A34" s="4" t="inlineStr">
        <is>
          <t>2026-09-22</t>
        </is>
      </c>
      <c r="B34" s="4" t="inlineStr">
        <is>
          <t>#30</t>
        </is>
      </c>
      <c r="C34" s="4" t="inlineStr">
        <is>
          <t>평가</t>
        </is>
      </c>
      <c r="D34" s="6" t="inlineStr">
        <is>
          <t>소스 7종 정리 · 라벨 없는 자동 평가셋 설계</t>
        </is>
      </c>
      <c r="E34" s="6" t="inlineStr">
        <is>
          <t>lab_autoeval · nb08 · rev9</t>
        </is>
      </c>
      <c r="F34" s="4" t="inlineStr">
        <is>
          <t>완료</t>
        </is>
      </c>
      <c r="G34" s="12" t="n"/>
    </row>
    <row r="35">
      <c r="A35" s="4" t="inlineStr">
        <is>
          <t>2026-09-23</t>
        </is>
      </c>
      <c r="B35" s="4" t="inlineStr">
        <is>
          <t>#31</t>
        </is>
      </c>
      <c r="C35" s="4" t="inlineStr">
        <is>
          <t>평가</t>
        </is>
      </c>
      <c r="D35" s="6" t="inlineStr">
        <is>
          <t>골든셋 실물 예시 요청</t>
        </is>
      </c>
      <c r="E35" s="6" t="inlineStr">
        <is>
          <t>golden_set_example_rev1.xlsx · examples/</t>
        </is>
      </c>
      <c r="F35" s="4" t="inlineStr">
        <is>
          <t>완료</t>
        </is>
      </c>
      <c r="G35" s="12" t="n"/>
    </row>
    <row r="36">
      <c r="A36" s="4" t="inlineStr">
        <is>
          <t>2026-09-23</t>
        </is>
      </c>
      <c r="B36" s="4" t="inlineStr">
        <is>
          <t>#32</t>
        </is>
      </c>
      <c r="C36" s="4" t="inlineStr">
        <is>
          <t>평가</t>
        </is>
      </c>
      <c r="D36" s="6" t="inlineStr">
        <is>
          <t>정량 평가 기입 양식</t>
        </is>
      </c>
      <c r="E36" s="6" t="inlineStr">
        <is>
          <t>golden_eval_pack_rev1.xlsx · nb09</t>
        </is>
      </c>
      <c r="F36" s="4" t="inlineStr">
        <is>
          <t>완료</t>
        </is>
      </c>
      <c r="G36" s="12" t="n"/>
    </row>
    <row r="37">
      <c r="A37" s="4" t="inlineStr">
        <is>
          <t>2026-09-23</t>
        </is>
      </c>
      <c r="B37" s="4" t="inlineStr">
        <is>
          <t>#33</t>
        </is>
      </c>
      <c r="C37" s="4" t="inlineStr">
        <is>
          <t>평가</t>
        </is>
      </c>
      <c r="D37" s="6" t="inlineStr">
        <is>
          <t>사외 정보 기반 질의 60문항 · 표준 지표 16종</t>
        </is>
      </c>
      <c r="E37" s="6" t="inlineStr">
        <is>
          <t>answer_golden_v1.csv · lab_ragas · nb10 · pack_rev2</t>
        </is>
      </c>
      <c r="F37" s="4" t="inlineStr">
        <is>
          <t>완료</t>
        </is>
      </c>
      <c r="G37" s="12" t="n"/>
    </row>
    <row r="38">
      <c r="A38" s="4" t="inlineStr">
        <is>
          <t>2026-09-23</t>
        </is>
      </c>
      <c r="B38" s="4" t="inlineStr">
        <is>
          <t>#34</t>
        </is>
      </c>
      <c r="C38" s="4" t="inlineStr">
        <is>
          <t>보완</t>
        </is>
      </c>
      <c r="D38" s="6" t="inlineStr">
        <is>
          <t>골든셋 선행 조건(원본 → 파싱 · 청킹) 지적 반영</t>
        </is>
      </c>
      <c r="E38" s="6" t="inlineStr">
        <is>
          <t>nb11_evidence_link · pack_rev3 (2d · 2e)</t>
        </is>
      </c>
      <c r="F38" s="4" t="inlineStr">
        <is>
          <t>완료</t>
        </is>
      </c>
      <c r="G38" s="12" t="n"/>
    </row>
    <row r="39">
      <c r="A39" s="4" t="inlineStr">
        <is>
          <t>2026-09-23</t>
        </is>
      </c>
      <c r="B39" s="4" t="inlineStr">
        <is>
          <t>#35</t>
        </is>
      </c>
      <c r="C39" s="4" t="inlineStr">
        <is>
          <t>확장</t>
        </is>
      </c>
      <c r="D39" s="6" t="inlineStr">
        <is>
          <t>파이프라인 검증 · LLM 골든셋 생성 · LangGraph 고도화 · 이력 대장</t>
        </is>
      </c>
      <c r="E39" s="6" t="inlineStr">
        <is>
          <t>lab_pipeline · nb00 / lab_golden_llm · nb12 / lab_graph · nb13 / 본 대장</t>
        </is>
      </c>
      <c r="F39" s="4" t="inlineStr">
        <is>
          <t>완료</t>
        </is>
      </c>
      <c r="G39" s="12" t="n"/>
    </row>
    <row r="40">
      <c r="A40" s="4" t="inlineStr">
        <is>
          <t>2026-09-23</t>
        </is>
      </c>
      <c r="B40" s="4" t="inlineStr">
        <is>
          <t>#36</t>
        </is>
      </c>
      <c r="C40" s="4" t="inlineStr">
        <is>
          <t>보완</t>
        </is>
      </c>
      <c r="D40" s="6" t="inlineStr">
        <is>
          <t>기존 엑셀에 신규 도구 반영 · 수식 캐시 중복 주입 버그(파일 손상) 수정</t>
        </is>
      </c>
      <c r="E40" s="6" t="inlineStr">
        <is>
          <t>golden_eval_pack_rev4(1b · 프리셋) · rag_checklist_rev10(단계별_실행도구) · golden_set_example_rev2</t>
        </is>
      </c>
      <c r="F40" s="4" t="inlineStr">
        <is>
          <t>완료</t>
        </is>
      </c>
      <c r="G40" s="12" t="n"/>
    </row>
    <row r="41">
      <c r="A41" s="6" t="n"/>
      <c r="B41" s="6" t="n"/>
      <c r="C41" s="6" t="n"/>
      <c r="D41" s="6" t="n"/>
      <c r="E41" s="6" t="n"/>
      <c r="F41" s="6" t="n"/>
      <c r="G41" s="12" t="n"/>
    </row>
    <row r="42">
      <c r="A42" s="6" t="n"/>
      <c r="B42" s="6" t="n"/>
      <c r="C42" s="6" t="n"/>
      <c r="D42" s="6" t="n"/>
      <c r="E42" s="6" t="n"/>
      <c r="F42" s="6" t="n"/>
      <c r="G42" s="12" t="n"/>
    </row>
    <row r="43">
      <c r="A43" s="6" t="n"/>
      <c r="B43" s="6" t="n"/>
      <c r="C43" s="6" t="n"/>
      <c r="D43" s="6" t="n"/>
      <c r="E43" s="6" t="n"/>
      <c r="F43" s="6" t="n"/>
      <c r="G43" s="12" t="n"/>
    </row>
    <row r="44">
      <c r="A44" s="6" t="n"/>
      <c r="B44" s="6" t="n"/>
      <c r="C44" s="6" t="n"/>
      <c r="D44" s="6" t="n"/>
      <c r="E44" s="6" t="n"/>
      <c r="F44" s="6" t="n"/>
      <c r="G44" s="12" t="n"/>
    </row>
    <row r="45">
      <c r="A45" s="6" t="n"/>
      <c r="B45" s="6" t="n"/>
      <c r="C45" s="6" t="n"/>
      <c r="D45" s="6" t="n"/>
      <c r="E45" s="6" t="n"/>
      <c r="F45" s="6" t="n"/>
      <c r="G45" s="12" t="n"/>
    </row>
    <row r="46">
      <c r="A46" s="6" t="n"/>
      <c r="B46" s="6" t="n"/>
      <c r="C46" s="6" t="n"/>
      <c r="D46" s="6" t="n"/>
      <c r="E46" s="6" t="n"/>
      <c r="F46" s="6" t="n"/>
      <c r="G46" s="12" t="n"/>
    </row>
    <row r="47">
      <c r="A47" s="6" t="n"/>
      <c r="B47" s="6" t="n"/>
      <c r="C47" s="6" t="n"/>
      <c r="D47" s="6" t="n"/>
      <c r="E47" s="6" t="n"/>
      <c r="F47" s="6" t="n"/>
      <c r="G47" s="12" t="n"/>
    </row>
    <row r="48">
      <c r="A48" s="6" t="n"/>
      <c r="B48" s="6" t="n"/>
      <c r="C48" s="6" t="n"/>
      <c r="D48" s="6" t="n"/>
      <c r="E48" s="6" t="n"/>
      <c r="F48" s="6" t="n"/>
      <c r="G48" s="12" t="n"/>
    </row>
    <row r="49">
      <c r="A49" s="6" t="n"/>
      <c r="B49" s="6" t="n"/>
      <c r="C49" s="6" t="n"/>
      <c r="D49" s="6" t="n"/>
      <c r="E49" s="6" t="n"/>
      <c r="F49" s="6" t="n"/>
      <c r="G49" s="12" t="n"/>
    </row>
    <row r="50">
      <c r="A50" s="6" t="n"/>
      <c r="B50" s="6" t="n"/>
      <c r="C50" s="6" t="n"/>
      <c r="D50" s="6" t="n"/>
      <c r="E50" s="6" t="n"/>
      <c r="F50" s="6" t="n"/>
      <c r="G50" s="12" t="n"/>
    </row>
    <row r="51">
      <c r="A51" s="6" t="n"/>
      <c r="B51" s="6" t="n"/>
      <c r="C51" s="6" t="n"/>
      <c r="D51" s="6" t="n"/>
      <c r="E51" s="6" t="n"/>
      <c r="F51" s="6" t="n"/>
      <c r="G51" s="12" t="n"/>
    </row>
    <row r="52">
      <c r="A52" s="6" t="n"/>
      <c r="B52" s="6" t="n"/>
      <c r="C52" s="6" t="n"/>
      <c r="D52" s="6" t="n"/>
      <c r="E52" s="6" t="n"/>
      <c r="F52" s="6" t="n"/>
      <c r="G52" s="12" t="n"/>
    </row>
    <row r="53">
      <c r="A53" s="6" t="n"/>
      <c r="B53" s="6" t="n"/>
      <c r="C53" s="6" t="n"/>
      <c r="D53" s="6" t="n"/>
      <c r="E53" s="6" t="n"/>
      <c r="F53" s="6" t="n"/>
      <c r="G53" s="12" t="n"/>
    </row>
    <row r="54">
      <c r="A54" s="6" t="n"/>
      <c r="B54" s="6" t="n"/>
      <c r="C54" s="6" t="n"/>
      <c r="D54" s="6" t="n"/>
      <c r="E54" s="6" t="n"/>
      <c r="F54" s="6" t="n"/>
      <c r="G54" s="12" t="n"/>
    </row>
    <row r="55">
      <c r="A55" s="6" t="n"/>
      <c r="B55" s="6" t="n"/>
      <c r="C55" s="6" t="n"/>
      <c r="D55" s="6" t="n"/>
      <c r="E55" s="6" t="n"/>
      <c r="F55" s="6" t="n"/>
      <c r="G55" s="12" t="n"/>
    </row>
    <row r="56">
      <c r="A56" s="6" t="n"/>
      <c r="B56" s="6" t="n"/>
      <c r="C56" s="6" t="n"/>
      <c r="D56" s="6" t="n"/>
      <c r="E56" s="6" t="n"/>
      <c r="F56" s="6" t="n"/>
      <c r="G56" s="12" t="n"/>
    </row>
    <row r="57">
      <c r="A57" s="6" t="n"/>
      <c r="B57" s="6" t="n"/>
      <c r="C57" s="6" t="n"/>
      <c r="D57" s="6" t="n"/>
      <c r="E57" s="6" t="n"/>
      <c r="F57" s="6" t="n"/>
      <c r="G57" s="12" t="n"/>
    </row>
    <row r="58">
      <c r="A58" s="6" t="n"/>
      <c r="B58" s="6" t="n"/>
      <c r="C58" s="6" t="n"/>
      <c r="D58" s="6" t="n"/>
      <c r="E58" s="6" t="n"/>
      <c r="F58" s="6" t="n"/>
      <c r="G58" s="12" t="n"/>
    </row>
    <row r="59">
      <c r="A59" s="6" t="n"/>
      <c r="B59" s="6" t="n"/>
      <c r="C59" s="6" t="n"/>
      <c r="D59" s="6" t="n"/>
      <c r="E59" s="6" t="n"/>
      <c r="F59" s="6" t="n"/>
      <c r="G59" s="12" t="n"/>
    </row>
    <row r="60">
      <c r="A60" s="6" t="n"/>
      <c r="B60" s="6" t="n"/>
      <c r="C60" s="6" t="n"/>
      <c r="D60" s="6" t="n"/>
      <c r="E60" s="6" t="n"/>
      <c r="F60" s="6" t="n"/>
      <c r="G60" s="12" t="n"/>
    </row>
    <row r="61">
      <c r="A61" s="6" t="n"/>
      <c r="B61" s="6" t="n"/>
      <c r="C61" s="6" t="n"/>
      <c r="D61" s="6" t="n"/>
      <c r="E61" s="6" t="n"/>
      <c r="F61" s="6" t="n"/>
      <c r="G61" s="12" t="n"/>
    </row>
    <row r="62">
      <c r="A62" s="6" t="n"/>
      <c r="B62" s="6" t="n"/>
      <c r="C62" s="6" t="n"/>
      <c r="D62" s="6" t="n"/>
      <c r="E62" s="6" t="n"/>
      <c r="F62" s="6" t="n"/>
      <c r="G62" s="12" t="n"/>
    </row>
    <row r="63">
      <c r="A63" s="6" t="n"/>
      <c r="B63" s="6" t="n"/>
      <c r="C63" s="6" t="n"/>
      <c r="D63" s="6" t="n"/>
      <c r="E63" s="6" t="n"/>
      <c r="F63" s="6" t="n"/>
      <c r="G63" s="12" t="n"/>
    </row>
    <row r="64">
      <c r="A64" s="6" t="n"/>
      <c r="B64" s="6" t="n"/>
      <c r="C64" s="6" t="n"/>
      <c r="D64" s="6" t="n"/>
      <c r="E64" s="6" t="n"/>
      <c r="F64" s="6" t="n"/>
      <c r="G64" s="12" t="n"/>
    </row>
    <row r="65">
      <c r="A65" s="6" t="n"/>
      <c r="B65" s="6" t="n"/>
      <c r="C65" s="6" t="n"/>
      <c r="D65" s="6" t="n"/>
      <c r="E65" s="6" t="n"/>
      <c r="F65" s="6" t="n"/>
      <c r="G65" s="12" t="n"/>
    </row>
    <row r="66">
      <c r="A66" s="6" t="n"/>
      <c r="B66" s="6" t="n"/>
      <c r="C66" s="6" t="n"/>
      <c r="D66" s="6" t="n"/>
      <c r="E66" s="6" t="n"/>
      <c r="F66" s="6" t="n"/>
      <c r="G66" s="12" t="n"/>
    </row>
    <row r="67">
      <c r="A67" s="6" t="n"/>
      <c r="B67" s="6" t="n"/>
      <c r="C67" s="6" t="n"/>
      <c r="D67" s="6" t="n"/>
      <c r="E67" s="6" t="n"/>
      <c r="F67" s="6" t="n"/>
      <c r="G67" s="12" t="n"/>
    </row>
    <row r="68">
      <c r="A68" s="6" t="n"/>
      <c r="B68" s="6" t="n"/>
      <c r="C68" s="6" t="n"/>
      <c r="D68" s="6" t="n"/>
      <c r="E68" s="6" t="n"/>
      <c r="F68" s="6" t="n"/>
      <c r="G68" s="12" t="n"/>
    </row>
    <row r="69">
      <c r="A69" s="6" t="n"/>
      <c r="B69" s="6" t="n"/>
      <c r="C69" s="6" t="n"/>
      <c r="D69" s="6" t="n"/>
      <c r="E69" s="6" t="n"/>
      <c r="F69" s="6" t="n"/>
      <c r="G69" s="12" t="n"/>
    </row>
    <row r="70">
      <c r="A70" s="6" t="n"/>
      <c r="B70" s="6" t="n"/>
      <c r="C70" s="6" t="n"/>
      <c r="D70" s="6" t="n"/>
      <c r="E70" s="6" t="n"/>
      <c r="F70" s="6" t="n"/>
      <c r="G70" s="12" t="n"/>
    </row>
    <row r="71">
      <c r="A71" s="6" t="n"/>
      <c r="B71" s="6" t="n"/>
      <c r="C71" s="6" t="n"/>
      <c r="D71" s="6" t="n"/>
      <c r="E71" s="6" t="n"/>
      <c r="F71" s="6" t="n"/>
      <c r="G71" s="12" t="n"/>
    </row>
    <row r="72">
      <c r="A72" s="6" t="n"/>
      <c r="B72" s="6" t="n"/>
      <c r="C72" s="6" t="n"/>
      <c r="D72" s="6" t="n"/>
      <c r="E72" s="6" t="n"/>
      <c r="F72" s="6" t="n"/>
      <c r="G72" s="12" t="n"/>
    </row>
    <row r="73">
      <c r="A73" s="6" t="n"/>
      <c r="B73" s="6" t="n"/>
      <c r="C73" s="6" t="n"/>
      <c r="D73" s="6" t="n"/>
      <c r="E73" s="6" t="n"/>
      <c r="F73" s="6" t="n"/>
      <c r="G73" s="12" t="n"/>
    </row>
    <row r="74">
      <c r="A74" s="6" t="n"/>
      <c r="B74" s="6" t="n"/>
      <c r="C74" s="6" t="n"/>
      <c r="D74" s="6" t="n"/>
      <c r="E74" s="6" t="n"/>
      <c r="F74" s="6" t="n"/>
      <c r="G74" s="12" t="n"/>
    </row>
    <row r="75">
      <c r="A75" s="6" t="n"/>
      <c r="B75" s="6" t="n"/>
      <c r="C75" s="6" t="n"/>
      <c r="D75" s="6" t="n"/>
      <c r="E75" s="6" t="n"/>
      <c r="F75" s="6" t="n"/>
      <c r="G75" s="12" t="n"/>
    </row>
    <row r="76">
      <c r="A76" s="6" t="n"/>
      <c r="B76" s="6" t="n"/>
      <c r="C76" s="6" t="n"/>
      <c r="D76" s="6" t="n"/>
      <c r="E76" s="6" t="n"/>
      <c r="F76" s="6" t="n"/>
      <c r="G76" s="12" t="n"/>
    </row>
    <row r="77">
      <c r="A77" s="6" t="n"/>
      <c r="B77" s="6" t="n"/>
      <c r="C77" s="6" t="n"/>
      <c r="D77" s="6" t="n"/>
      <c r="E77" s="6" t="n"/>
      <c r="F77" s="6" t="n"/>
      <c r="G77" s="12" t="n"/>
    </row>
    <row r="78">
      <c r="A78" s="6" t="n"/>
      <c r="B78" s="6" t="n"/>
      <c r="C78" s="6" t="n"/>
      <c r="D78" s="6" t="n"/>
      <c r="E78" s="6" t="n"/>
      <c r="F78" s="6" t="n"/>
      <c r="G78" s="12" t="n"/>
    </row>
    <row r="79">
      <c r="A79" s="6" t="n"/>
      <c r="B79" s="6" t="n"/>
      <c r="C79" s="6" t="n"/>
      <c r="D79" s="6" t="n"/>
      <c r="E79" s="6" t="n"/>
      <c r="F79" s="6" t="n"/>
      <c r="G79" s="12" t="n"/>
    </row>
    <row r="80">
      <c r="A80" s="6" t="n"/>
      <c r="B80" s="6" t="n"/>
      <c r="C80" s="6" t="n"/>
      <c r="D80" s="6" t="n"/>
      <c r="E80" s="6" t="n"/>
      <c r="F80" s="6" t="n"/>
      <c r="G80" s="12" t="n"/>
    </row>
    <row r="82">
      <c r="A82" s="8" t="inlineStr">
        <is>
          <t>집계</t>
        </is>
      </c>
    </row>
    <row r="83">
      <c r="A83" s="13" t="inlineStr">
        <is>
          <t>총 이력</t>
        </is>
      </c>
      <c r="B83" s="14">
        <f>COUNTIF(B5:B80,"&lt;&gt;")</f>
        <v>36</v>
      </c>
    </row>
    <row r="84">
      <c r="A84" s="13" t="inlineStr">
        <is>
          <t>완료</t>
        </is>
      </c>
      <c r="B84" s="14">
        <f>COUNTIF(F5:F80,"완료")</f>
        <v>36</v>
      </c>
    </row>
    <row r="85">
      <c r="A85" s="13" t="inlineStr">
        <is>
          <t>진행 · 보류</t>
        </is>
      </c>
      <c r="B85" s="14">
        <f>COUNTIF(F5:F80,"진행")+COUNTIF(F5:F80,"보류")</f>
        <v>0</v>
      </c>
    </row>
  </sheetData>
  <autoFilter ref="A4:G80"/>
  <mergeCells count="2">
    <mergeCell ref="A2:G2"/>
    <mergeCell ref="A1:G1"/>
  </mergeCells>
  <dataValidations count="2">
    <dataValidation sqref="F5:F80" showDropDown="0" showInputMessage="0" showErrorMessage="0" allowBlank="1" type="list">
      <formula1>"완료,진행,보류"</formula1>
    </dataValidation>
    <dataValidation sqref="C5:C80" showDropDown="0" showInputMessage="0" showErrorMessage="0" allowBlank="1" type="list">
      <formula1>"진단,설계,문서,코드,평가,환경,배포,보완,확장,범위,확인,판단,산출"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4" customWidth="1" min="3" max="3"/>
    <col width="16" customWidth="1" min="4" max="4"/>
    <col width="20" customWidth="1" min="5" max="5"/>
    <col width="11" customWidth="1" min="6" max="6"/>
    <col width="10" customWidth="1" min="7" max="7"/>
  </cols>
  <sheetData>
    <row r="1">
      <c r="A1" s="11" t="inlineStr">
        <is>
          <t>2. 산출물 목록</t>
        </is>
      </c>
    </row>
    <row r="2">
      <c r="A2" s="2" t="inlineStr">
        <is>
          <t>사내 반입 대상 · F · G 열 기입</t>
        </is>
      </c>
    </row>
    <row r="4">
      <c r="A4" s="3" t="inlineStr">
        <is>
          <t>구분</t>
        </is>
      </c>
      <c r="B4" s="3" t="inlineStr">
        <is>
          <t>파일</t>
        </is>
      </c>
      <c r="C4" s="3" t="inlineStr">
        <is>
          <t>용도</t>
        </is>
      </c>
      <c r="D4" s="3" t="inlineStr">
        <is>
          <t>위치</t>
        </is>
      </c>
      <c r="E4" s="3" t="inlineStr">
        <is>
          <t>비고</t>
        </is>
      </c>
      <c r="F4" s="3" t="inlineStr">
        <is>
          <t>사내 반영</t>
        </is>
      </c>
      <c r="G4" s="3" t="inlineStr">
        <is>
          <t>확인자</t>
        </is>
      </c>
    </row>
    <row r="5">
      <c r="A5" s="4" t="inlineStr">
        <is>
          <t>코드</t>
        </is>
      </c>
      <c r="B5" s="6" t="inlineStr">
        <is>
          <t>lab_config.py</t>
        </is>
      </c>
      <c r="C5" s="6" t="inlineStr">
        <is>
          <t>설정 · 사내 테이블 · 컬럼 매핑</t>
        </is>
      </c>
      <c r="D5" s="6" t="inlineStr">
        <is>
          <t>rag_lab/</t>
        </is>
      </c>
      <c r="E5" s="6" t="inlineStr">
        <is>
          <t>사내 맞춤 블록 수정 필요</t>
        </is>
      </c>
      <c r="F5" s="12" t="n"/>
      <c r="G5" s="12" t="n"/>
    </row>
    <row r="6">
      <c r="A6" s="4" t="inlineStr">
        <is>
          <t>코드</t>
        </is>
      </c>
      <c r="B6" s="6" t="inlineStr">
        <is>
          <t>lab_io.py</t>
        </is>
      </c>
      <c r="C6" s="6" t="inlineStr">
        <is>
          <t>Oracle · 샘플 입출력 · 결과 저장</t>
        </is>
      </c>
      <c r="D6" s="6" t="inlineStr">
        <is>
          <t>rag_lab/</t>
        </is>
      </c>
      <c r="E6" s="6" t="inlineStr"/>
      <c r="F6" s="12" t="n"/>
      <c r="G6" s="12" t="n"/>
    </row>
    <row r="7">
      <c r="A7" s="4" t="inlineStr">
        <is>
          <t>코드</t>
        </is>
      </c>
      <c r="B7" s="6" t="inlineStr">
        <is>
          <t>lab_text.py</t>
        </is>
      </c>
      <c r="C7" s="6" t="inlineStr">
        <is>
          <t>정제 · 토큰 · 근사 중복</t>
        </is>
      </c>
      <c r="D7" s="6" t="inlineStr">
        <is>
          <t>rag_lab/</t>
        </is>
      </c>
      <c r="E7" s="6" t="inlineStr"/>
      <c r="F7" s="12" t="n"/>
      <c r="G7" s="12" t="n"/>
    </row>
    <row r="8">
      <c r="A8" s="4" t="inlineStr">
        <is>
          <t>코드</t>
        </is>
      </c>
      <c r="B8" s="6" t="inlineStr">
        <is>
          <t>lab_search.py</t>
        </is>
      </c>
      <c r="C8" s="6" t="inlineStr">
        <is>
          <t>BM25 · 임베딩 · Milvus · RRF · MMR · 리랭크 · 답변</t>
        </is>
      </c>
      <c r="D8" s="6" t="inlineStr">
        <is>
          <t>rag_lab/</t>
        </is>
      </c>
      <c r="E8" s="6" t="inlineStr"/>
      <c r="F8" s="12" t="n"/>
      <c r="G8" s="12" t="n"/>
    </row>
    <row r="9">
      <c r="A9" s="4" t="inlineStr">
        <is>
          <t>코드</t>
        </is>
      </c>
      <c r="B9" s="6" t="inlineStr">
        <is>
          <t>lab_pipeline.py</t>
        </is>
      </c>
      <c r="C9" s="6" t="inlineStr">
        <is>
          <t>적재 파이프라인 무결성 점검</t>
        </is>
      </c>
      <c r="D9" s="6" t="inlineStr">
        <is>
          <t>rag_lab/</t>
        </is>
      </c>
      <c r="E9" s="6" t="inlineStr">
        <is>
          <t>신규</t>
        </is>
      </c>
      <c r="F9" s="12" t="n"/>
      <c r="G9" s="12" t="n"/>
    </row>
    <row r="10">
      <c r="A10" s="4" t="inlineStr">
        <is>
          <t>코드</t>
        </is>
      </c>
      <c r="B10" s="6" t="inlineStr">
        <is>
          <t>lab_eval.py</t>
        </is>
      </c>
      <c r="C10" s="6" t="inlineStr">
        <is>
          <t>검색 지표(hit · recall · MRR · nDCG)</t>
        </is>
      </c>
      <c r="D10" s="6" t="inlineStr">
        <is>
          <t>rag_lab/</t>
        </is>
      </c>
      <c r="E10" s="6" t="inlineStr"/>
      <c r="F10" s="12" t="n"/>
      <c r="G10" s="12" t="n"/>
    </row>
    <row r="11">
      <c r="A11" s="4" t="inlineStr">
        <is>
          <t>코드</t>
        </is>
      </c>
      <c r="B11" s="6" t="inlineStr">
        <is>
          <t>lab_ragas.py</t>
        </is>
      </c>
      <c r="C11" s="6" t="inlineStr">
        <is>
          <t>표준 지표 16종 · LLM 채점</t>
        </is>
      </c>
      <c r="D11" s="6" t="inlineStr">
        <is>
          <t>rag_lab/</t>
        </is>
      </c>
      <c r="E11" s="6" t="inlineStr"/>
      <c r="F11" s="12" t="n"/>
      <c r="G11" s="12" t="n"/>
    </row>
    <row r="12">
      <c r="A12" s="4" t="inlineStr">
        <is>
          <t>코드</t>
        </is>
      </c>
      <c r="B12" s="6" t="inlineStr">
        <is>
          <t>lab_autoeval.py</t>
        </is>
      </c>
      <c r="C12" s="6" t="inlineStr">
        <is>
          <t>라벨 없는 자동 평가셋 · 근거 문서 연결</t>
        </is>
      </c>
      <c r="D12" s="6" t="inlineStr">
        <is>
          <t>rag_lab/</t>
        </is>
      </c>
      <c r="E12" s="6" t="inlineStr"/>
      <c r="F12" s="12" t="n"/>
      <c r="G12" s="12" t="n"/>
    </row>
    <row r="13">
      <c r="A13" s="4" t="inlineStr">
        <is>
          <t>코드</t>
        </is>
      </c>
      <c r="B13" s="6" t="inlineStr">
        <is>
          <t>lab_golden_llm.py</t>
        </is>
      </c>
      <c r="C13" s="6" t="inlineStr">
        <is>
          <t>LLM 기반 골든셋 생성 · 자가 검증</t>
        </is>
      </c>
      <c r="D13" s="6" t="inlineStr">
        <is>
          <t>rag_lab/</t>
        </is>
      </c>
      <c r="E13" s="6" t="inlineStr">
        <is>
          <t>신규</t>
        </is>
      </c>
      <c r="F13" s="12" t="n"/>
      <c r="G13" s="12" t="n"/>
    </row>
    <row r="14">
      <c r="A14" s="4" t="inlineStr">
        <is>
          <t>코드</t>
        </is>
      </c>
      <c r="B14" s="6" t="inlineStr">
        <is>
          <t>lab_graph.py</t>
        </is>
      </c>
      <c r="C14" s="6" t="inlineStr">
        <is>
          <t>LangGraph RAG 그래프 · 프리셋 비교</t>
        </is>
      </c>
      <c r="D14" s="6" t="inlineStr">
        <is>
          <t>rag_lab/</t>
        </is>
      </c>
      <c r="E14" s="6" t="inlineStr">
        <is>
          <t>신규</t>
        </is>
      </c>
      <c r="F14" s="12" t="n"/>
      <c r="G14" s="12" t="n"/>
    </row>
    <row r="15">
      <c r="A15" s="4" t="inlineStr">
        <is>
          <t>코드</t>
        </is>
      </c>
      <c r="B15" s="6" t="inlineStr">
        <is>
          <t>lab_sql.py</t>
        </is>
      </c>
      <c r="C15" s="6" t="inlineStr">
        <is>
          <t>정형 데이터 연계(라우팅 · SQL 생성 · 검증)</t>
        </is>
      </c>
      <c r="D15" s="6" t="inlineStr">
        <is>
          <t>rag_lab/</t>
        </is>
      </c>
      <c r="E15" s="6" t="inlineStr"/>
      <c r="F15" s="12" t="n"/>
      <c r="G15" s="12" t="n"/>
    </row>
    <row r="16">
      <c r="A16" s="4" t="inlineStr">
        <is>
          <t>노트북</t>
        </is>
      </c>
      <c r="B16" s="6" t="inlineStr">
        <is>
          <t>nb00_pipeline_check.py</t>
        </is>
      </c>
      <c r="C16" s="6" t="inlineStr">
        <is>
          <t>적재 검증 — 평가 이전 필수</t>
        </is>
      </c>
      <c r="D16" s="6" t="inlineStr">
        <is>
          <t>rag_lab/</t>
        </is>
      </c>
      <c r="E16" s="6" t="inlineStr">
        <is>
          <t>신규</t>
        </is>
      </c>
      <c r="F16" s="12" t="n"/>
      <c r="G16" s="12" t="n"/>
    </row>
    <row r="17">
      <c r="A17" s="4" t="inlineStr">
        <is>
          <t>노트북</t>
        </is>
      </c>
      <c r="B17" s="6" t="inlineStr">
        <is>
          <t>nb01_inventory.py</t>
        </is>
      </c>
      <c r="C17" s="6" t="inlineStr">
        <is>
          <t>적재 현황 조사</t>
        </is>
      </c>
      <c r="D17" s="6" t="inlineStr">
        <is>
          <t>rag_lab/</t>
        </is>
      </c>
      <c r="E17" s="6" t="inlineStr"/>
      <c r="F17" s="12" t="n"/>
      <c r="G17" s="12" t="n"/>
    </row>
    <row r="18">
      <c r="A18" s="4" t="inlineStr">
        <is>
          <t>노트북</t>
        </is>
      </c>
      <c r="B18" s="6" t="inlineStr">
        <is>
          <t>nb02_parse_chunk.py</t>
        </is>
      </c>
      <c r="C18" s="6" t="inlineStr">
        <is>
          <t>파싱 · 청킹 품질</t>
        </is>
      </c>
      <c r="D18" s="6" t="inlineStr">
        <is>
          <t>rag_lab/</t>
        </is>
      </c>
      <c r="E18" s="6" t="inlineStr"/>
      <c r="F18" s="12" t="n"/>
      <c r="G18" s="12" t="n"/>
    </row>
    <row r="19">
      <c r="A19" s="4" t="inlineStr">
        <is>
          <t>노트북</t>
        </is>
      </c>
      <c r="B19" s="6" t="inlineStr">
        <is>
          <t>nb03_bm25_tokenizer.py</t>
        </is>
      </c>
      <c r="C19" s="6" t="inlineStr">
        <is>
          <t>한국어 토크나이저 비교</t>
        </is>
      </c>
      <c r="D19" s="6" t="inlineStr">
        <is>
          <t>rag_lab/</t>
        </is>
      </c>
      <c r="E19" s="6" t="inlineStr"/>
      <c r="F19" s="12" t="n"/>
      <c r="G19" s="12" t="n"/>
    </row>
    <row r="20">
      <c r="A20" s="4" t="inlineStr">
        <is>
          <t>노트북</t>
        </is>
      </c>
      <c r="B20" s="6" t="inlineStr">
        <is>
          <t>nb04_milvus.py</t>
        </is>
      </c>
      <c r="C20" s="6" t="inlineStr">
        <is>
          <t>인덱스 · 검색 파라미터</t>
        </is>
      </c>
      <c r="D20" s="6" t="inlineStr">
        <is>
          <t>rag_lab/</t>
        </is>
      </c>
      <c r="E20" s="6" t="inlineStr"/>
      <c r="F20" s="12" t="n"/>
      <c r="G20" s="12" t="n"/>
    </row>
    <row r="21">
      <c r="A21" s="4" t="inlineStr">
        <is>
          <t>노트북</t>
        </is>
      </c>
      <c r="B21" s="6" t="inlineStr">
        <is>
          <t>nb05_smoke_test.py</t>
        </is>
      </c>
      <c r="C21" s="6" t="inlineStr">
        <is>
          <t>스모크 20문항</t>
        </is>
      </c>
      <c r="D21" s="6" t="inlineStr">
        <is>
          <t>rag_lab/</t>
        </is>
      </c>
      <c r="E21" s="6" t="inlineStr"/>
      <c r="F21" s="12" t="n"/>
      <c r="G21" s="12" t="n"/>
    </row>
    <row r="22">
      <c r="A22" s="4" t="inlineStr">
        <is>
          <t>노트북</t>
        </is>
      </c>
      <c r="B22" s="6" t="inlineStr">
        <is>
          <t>nb06_retrieval_eval.py</t>
        </is>
      </c>
      <c r="C22" s="6" t="inlineStr">
        <is>
          <t>검색 지표 측정</t>
        </is>
      </c>
      <c r="D22" s="6" t="inlineStr">
        <is>
          <t>rag_lab/</t>
        </is>
      </c>
      <c r="E22" s="6" t="inlineStr"/>
      <c r="F22" s="12" t="n"/>
      <c r="G22" s="12" t="n"/>
    </row>
    <row r="23">
      <c r="A23" s="4" t="inlineStr">
        <is>
          <t>노트북</t>
        </is>
      </c>
      <c r="B23" s="6" t="inlineStr">
        <is>
          <t>nb07_sql_router.py</t>
        </is>
      </c>
      <c r="C23" s="6" t="inlineStr">
        <is>
          <t>정형 연계 점검</t>
        </is>
      </c>
      <c r="D23" s="6" t="inlineStr">
        <is>
          <t>rag_lab/</t>
        </is>
      </c>
      <c r="E23" s="6" t="inlineStr"/>
      <c r="F23" s="12" t="n"/>
      <c r="G23" s="12" t="n"/>
    </row>
    <row r="24">
      <c r="A24" s="4" t="inlineStr">
        <is>
          <t>노트북</t>
        </is>
      </c>
      <c r="B24" s="6" t="inlineStr">
        <is>
          <t>nb08_auto_eval.py</t>
        </is>
      </c>
      <c r="C24" s="6" t="inlineStr">
        <is>
          <t>라벨 없는 자동 평가</t>
        </is>
      </c>
      <c r="D24" s="6" t="inlineStr">
        <is>
          <t>rag_lab/</t>
        </is>
      </c>
      <c r="E24" s="6" t="inlineStr"/>
      <c r="F24" s="12" t="n"/>
      <c r="G24" s="12" t="n"/>
    </row>
    <row r="25">
      <c r="A25" s="4" t="inlineStr">
        <is>
          <t>노트북</t>
        </is>
      </c>
      <c r="B25" s="6" t="inlineStr">
        <is>
          <t>nb09_golden_build.py</t>
        </is>
      </c>
      <c r="C25" s="6" t="inlineStr">
        <is>
          <t>골든셋 구성 → 평가 실행</t>
        </is>
      </c>
      <c r="D25" s="6" t="inlineStr">
        <is>
          <t>rag_lab/</t>
        </is>
      </c>
      <c r="E25" s="6" t="inlineStr"/>
      <c r="F25" s="12" t="n"/>
      <c r="G25" s="12" t="n"/>
    </row>
    <row r="26">
      <c r="A26" s="4" t="inlineStr">
        <is>
          <t>노트북</t>
        </is>
      </c>
      <c r="B26" s="6" t="inlineStr">
        <is>
          <t>nb10_answer_eval.py</t>
        </is>
      </c>
      <c r="C26" s="6" t="inlineStr">
        <is>
          <t>답변 품질 표준 지표</t>
        </is>
      </c>
      <c r="D26" s="6" t="inlineStr">
        <is>
          <t>rag_lab/</t>
        </is>
      </c>
      <c r="E26" s="6" t="inlineStr"/>
      <c r="F26" s="12" t="n"/>
      <c r="G26" s="12" t="n"/>
    </row>
    <row r="27">
      <c r="A27" s="4" t="inlineStr">
        <is>
          <t>노트북</t>
        </is>
      </c>
      <c r="B27" s="6" t="inlineStr">
        <is>
          <t>nb11_evidence_link.py</t>
        </is>
      </c>
      <c r="C27" s="6" t="inlineStr">
        <is>
          <t>질문 ↔ 근거 문서 연결</t>
        </is>
      </c>
      <c r="D27" s="6" t="inlineStr">
        <is>
          <t>rag_lab/</t>
        </is>
      </c>
      <c r="E27" s="6" t="inlineStr"/>
      <c r="F27" s="12" t="n"/>
      <c r="G27" s="12" t="n"/>
    </row>
    <row r="28">
      <c r="A28" s="4" t="inlineStr">
        <is>
          <t>노트북</t>
        </is>
      </c>
      <c r="B28" s="6" t="inlineStr">
        <is>
          <t>nb12_golden_llm.py</t>
        </is>
      </c>
      <c r="C28" s="6" t="inlineStr">
        <is>
          <t>LLM 골든셋 생성 · 검수</t>
        </is>
      </c>
      <c r="D28" s="6" t="inlineStr">
        <is>
          <t>rag_lab/</t>
        </is>
      </c>
      <c r="E28" s="6" t="inlineStr">
        <is>
          <t>신규</t>
        </is>
      </c>
      <c r="F28" s="12" t="n"/>
      <c r="G28" s="12" t="n"/>
    </row>
    <row r="29">
      <c r="A29" s="4" t="inlineStr">
        <is>
          <t>노트북</t>
        </is>
      </c>
      <c r="B29" s="6" t="inlineStr">
        <is>
          <t>nb13_langgraph_rag.py</t>
        </is>
      </c>
      <c r="C29" s="6" t="inlineStr">
        <is>
          <t>LangGraph 고도화 · 개선 정량화</t>
        </is>
      </c>
      <c r="D29" s="6" t="inlineStr">
        <is>
          <t>rag_lab/</t>
        </is>
      </c>
      <c r="E29" s="6" t="inlineStr">
        <is>
          <t>신규</t>
        </is>
      </c>
      <c r="F29" s="12" t="n"/>
      <c r="G29" s="12" t="n"/>
    </row>
    <row r="30">
      <c r="A30" s="4" t="inlineStr">
        <is>
          <t>엑셀</t>
        </is>
      </c>
      <c r="B30" s="6" t="inlineStr">
        <is>
          <t>rag_run_guide_rev1.xlsx</t>
        </is>
      </c>
      <c r="C30" s="6" t="inlineStr">
        <is>
          <t>실행 가이드 — 순서 · 통과 기준 · 설정 기입표</t>
        </is>
      </c>
      <c r="D30" s="6" t="inlineStr">
        <is>
          <t>rag_lab/docs/</t>
        </is>
      </c>
      <c r="E30" s="6" t="inlineStr">
        <is>
          <t>신규</t>
        </is>
      </c>
      <c r="F30" s="12" t="n"/>
      <c r="G30" s="12" t="n"/>
    </row>
    <row r="31">
      <c r="A31" s="4" t="inlineStr">
        <is>
          <t>문서</t>
        </is>
      </c>
      <c r="B31" s="6" t="inlineStr">
        <is>
          <t>rag_runbook_t2_rev1.html</t>
        </is>
      </c>
      <c r="C31" s="6" t="inlineStr">
        <is>
          <t>T2 보고서판 안내서 — 도식 13장 · 개념 설명용</t>
        </is>
      </c>
      <c r="D31" s="6" t="inlineStr">
        <is>
          <t>rag_lab/docs/</t>
        </is>
      </c>
      <c r="E31" s="6" t="inlineStr">
        <is>
          <t>신규</t>
        </is>
      </c>
      <c r="F31" s="12" t="n"/>
      <c r="G31" s="12" t="n"/>
    </row>
    <row r="32">
      <c r="A32" s="4" t="inlineStr">
        <is>
          <t>문서</t>
        </is>
      </c>
      <c r="B32" s="6" t="inlineStr">
        <is>
          <t>rag_runbook_rev1.html</t>
        </is>
      </c>
      <c r="C32" s="6" t="inlineStr">
        <is>
          <t>실행 안내서(원본) — 절차 · FAQ 중심</t>
        </is>
      </c>
      <c r="D32" s="6" t="inlineStr">
        <is>
          <t>rag_lab/docs/</t>
        </is>
      </c>
      <c r="E32" s="6" t="inlineStr"/>
      <c r="F32" s="12" t="n"/>
      <c r="G32" s="12" t="n"/>
    </row>
    <row r="33">
      <c r="A33" s="4" t="inlineStr">
        <is>
          <t>문서</t>
        </is>
      </c>
      <c r="B33" s="6" t="inlineStr">
        <is>
          <t>rag_checklist_sheet_rev9.html</t>
        </is>
      </c>
      <c r="C33" s="6" t="inlineStr">
        <is>
          <t>단계별 체크리스트 · 소스별 컬럼 정의</t>
        </is>
      </c>
      <c r="D33" s="6" t="inlineStr">
        <is>
          <t>rag_lab/docs/</t>
        </is>
      </c>
      <c r="E33" s="6" t="inlineStr"/>
      <c r="F33" s="12" t="n"/>
      <c r="G33" s="12" t="n"/>
    </row>
    <row r="34">
      <c r="A34" s="4" t="inlineStr">
        <is>
          <t>문서</t>
        </is>
      </c>
      <c r="B34" s="6" t="inlineStr">
        <is>
          <t>rag_design_guide_rev4.html</t>
        </is>
      </c>
      <c r="C34" s="6" t="inlineStr">
        <is>
          <t>설계 원본</t>
        </is>
      </c>
      <c r="D34" s="6" t="inlineStr">
        <is>
          <t>rag_lab/docs/</t>
        </is>
      </c>
      <c r="E34" s="6" t="inlineStr"/>
      <c r="F34" s="12" t="n"/>
      <c r="G34" s="12" t="n"/>
    </row>
    <row r="35">
      <c r="A35" s="4" t="inlineStr">
        <is>
          <t>문서</t>
        </is>
      </c>
      <c r="B35" s="6" t="inlineStr">
        <is>
          <t>rag_quest_board_rev4.html</t>
        </is>
      </c>
      <c r="C35" s="6" t="inlineStr">
        <is>
          <t>옵션 사전</t>
        </is>
      </c>
      <c r="D35" s="6" t="inlineStr">
        <is>
          <t>rag_lab/docs/</t>
        </is>
      </c>
      <c r="E35" s="6" t="inlineStr"/>
      <c r="F35" s="12" t="n"/>
      <c r="G35" s="12" t="n"/>
    </row>
    <row r="36">
      <c r="A36" s="4" t="inlineStr">
        <is>
          <t>문서</t>
        </is>
      </c>
      <c r="B36" s="6" t="inlineStr">
        <is>
          <t>query_flow_example_rev2.html</t>
        </is>
      </c>
      <c r="C36" s="6" t="inlineStr">
        <is>
          <t>혼합 질의 흐름 · 지표 정의서 예시</t>
        </is>
      </c>
      <c r="D36" s="6" t="inlineStr">
        <is>
          <t>rag_lab/docs/</t>
        </is>
      </c>
      <c r="E36" s="6" t="inlineStr"/>
      <c r="F36" s="12" t="n"/>
      <c r="G36" s="12" t="n"/>
    </row>
    <row r="37">
      <c r="A37" s="4" t="inlineStr">
        <is>
          <t>엑셀</t>
        </is>
      </c>
      <c r="B37" s="6" t="inlineStr">
        <is>
          <t>rag_project_log_rev1.xlsx</t>
        </is>
      </c>
      <c r="C37" s="6" t="inlineStr">
        <is>
          <t>이력 대장 — 본 파일</t>
        </is>
      </c>
      <c r="D37" s="6" t="inlineStr">
        <is>
          <t>rag_lab/docs/</t>
        </is>
      </c>
      <c r="E37" s="6" t="inlineStr">
        <is>
          <t>신규</t>
        </is>
      </c>
      <c r="F37" s="12" t="n"/>
      <c r="G37" s="12" t="n"/>
    </row>
    <row r="38">
      <c r="A38" s="4" t="inlineStr">
        <is>
          <t>엑셀</t>
        </is>
      </c>
      <c r="B38" s="6" t="inlineStr">
        <is>
          <t>rag_checklist_rev10.xlsx</t>
        </is>
      </c>
      <c r="C38" s="6" t="inlineStr">
        <is>
          <t>체크리스트 · 컬럼 정의 · 단계별 실행 도구(S번호↔노트북)</t>
        </is>
      </c>
      <c r="D38" s="6" t="inlineStr">
        <is>
          <t>rag_lab/docs/</t>
        </is>
      </c>
      <c r="E38" s="6" t="inlineStr">
        <is>
          <t>신규 시트</t>
        </is>
      </c>
      <c r="F38" s="12" t="n"/>
      <c r="G38" s="12" t="n"/>
    </row>
    <row r="39">
      <c r="A39" s="4" t="inlineStr">
        <is>
          <t>엑셀</t>
        </is>
      </c>
      <c r="B39" s="6" t="inlineStr">
        <is>
          <t>golden_eval_pack_rev4.xlsx</t>
        </is>
      </c>
      <c r="C39" s="6" t="inlineStr">
        <is>
          <t>골든셋 · 평가 기입본 (LLM 골든셋 검수 · 프리셋 열 포함)</t>
        </is>
      </c>
      <c r="D39" s="6" t="inlineStr">
        <is>
          <t>rag_lab/docs/</t>
        </is>
      </c>
      <c r="E39" s="6" t="inlineStr">
        <is>
          <t>신규 시트 1b</t>
        </is>
      </c>
      <c r="F39" s="12" t="n"/>
      <c r="G39" s="12" t="n"/>
    </row>
    <row r="40">
      <c r="A40" s="4" t="inlineStr">
        <is>
          <t>엑셀</t>
        </is>
      </c>
      <c r="B40" s="6" t="inlineStr">
        <is>
          <t>golden_set_example_rev2.xlsx</t>
        </is>
      </c>
      <c r="C40" s="6" t="inlineStr">
        <is>
          <t>골든셋 실물 예시 — LLM 생성 · 근거 연결 포함 9종</t>
        </is>
      </c>
      <c r="D40" s="6" t="inlineStr">
        <is>
          <t>rag_lab/docs/</t>
        </is>
      </c>
      <c r="E40" s="6" t="inlineStr">
        <is>
          <t>신규</t>
        </is>
      </c>
      <c r="F40" s="12" t="n"/>
      <c r="G40" s="12" t="n"/>
    </row>
    <row r="41">
      <c r="A41" s="4" t="inlineStr">
        <is>
          <t>엑셀</t>
        </is>
      </c>
      <c r="B41" s="6" t="inlineStr">
        <is>
          <t>metric_catalog_template_rev1.xlsx</t>
        </is>
      </c>
      <c r="C41" s="6" t="inlineStr">
        <is>
          <t>정형 지표 정의서 양식</t>
        </is>
      </c>
      <c r="D41" s="6" t="inlineStr">
        <is>
          <t>rag_lab/docs/</t>
        </is>
      </c>
      <c r="E41" s="6" t="inlineStr"/>
      <c r="F41" s="12" t="n"/>
      <c r="G41" s="12" t="n"/>
    </row>
    <row r="42">
      <c r="A42" s="4" t="inlineStr">
        <is>
          <t>데이터</t>
        </is>
      </c>
      <c r="B42" s="6" t="inlineStr">
        <is>
          <t>golden/answer_golden_v1.csv</t>
        </is>
      </c>
      <c r="C42" s="6" t="inlineStr">
        <is>
          <t>사외 정보 기반 질문 60건</t>
        </is>
      </c>
      <c r="D42" s="6" t="inlineStr">
        <is>
          <t>rag_lab/golden/</t>
        </is>
      </c>
      <c r="E42" s="6" t="inlineStr">
        <is>
          <t>근거 연결 필요</t>
        </is>
      </c>
      <c r="F42" s="12" t="n"/>
      <c r="G42" s="12" t="n"/>
    </row>
    <row r="43">
      <c r="A43" s="4" t="inlineStr">
        <is>
          <t>데이터</t>
        </is>
      </c>
      <c r="B43" s="6" t="inlineStr">
        <is>
          <t>golden/smoke20.csv</t>
        </is>
      </c>
      <c r="C43" s="6" t="inlineStr">
        <is>
          <t>스모크 20문항</t>
        </is>
      </c>
      <c r="D43" s="6" t="inlineStr">
        <is>
          <t>rag_lab/golden/</t>
        </is>
      </c>
      <c r="E43" s="6" t="inlineStr"/>
      <c r="F43" s="12" t="n"/>
      <c r="G43" s="12" t="n"/>
    </row>
    <row r="44">
      <c r="A44" s="6" t="n"/>
      <c r="B44" s="6" t="n"/>
      <c r="C44" s="6" t="n"/>
      <c r="D44" s="6" t="n"/>
      <c r="E44" s="6" t="n"/>
      <c r="F44" s="12" t="n"/>
      <c r="G44" s="12" t="n"/>
    </row>
    <row r="45">
      <c r="A45" s="6" t="n"/>
      <c r="B45" s="6" t="n"/>
      <c r="C45" s="6" t="n"/>
      <c r="D45" s="6" t="n"/>
      <c r="E45" s="6" t="n"/>
      <c r="F45" s="12" t="n"/>
      <c r="G45" s="12" t="n"/>
    </row>
    <row r="46">
      <c r="A46" s="6" t="n"/>
      <c r="B46" s="6" t="n"/>
      <c r="C46" s="6" t="n"/>
      <c r="D46" s="6" t="n"/>
      <c r="E46" s="6" t="n"/>
      <c r="F46" s="12" t="n"/>
      <c r="G46" s="12" t="n"/>
    </row>
    <row r="47">
      <c r="A47" s="6" t="n"/>
      <c r="B47" s="6" t="n"/>
      <c r="C47" s="6" t="n"/>
      <c r="D47" s="6" t="n"/>
      <c r="E47" s="6" t="n"/>
      <c r="F47" s="12" t="n"/>
      <c r="G47" s="12" t="n"/>
    </row>
    <row r="48">
      <c r="A48" s="6" t="n"/>
      <c r="B48" s="6" t="n"/>
      <c r="C48" s="6" t="n"/>
      <c r="D48" s="6" t="n"/>
      <c r="E48" s="6" t="n"/>
      <c r="F48" s="12" t="n"/>
      <c r="G48" s="12" t="n"/>
    </row>
    <row r="49">
      <c r="A49" s="6" t="n"/>
      <c r="B49" s="6" t="n"/>
      <c r="C49" s="6" t="n"/>
      <c r="D49" s="6" t="n"/>
      <c r="E49" s="6" t="n"/>
      <c r="F49" s="12" t="n"/>
      <c r="G49" s="12" t="n"/>
    </row>
    <row r="50">
      <c r="A50" s="6" t="n"/>
      <c r="B50" s="6" t="n"/>
      <c r="C50" s="6" t="n"/>
      <c r="D50" s="6" t="n"/>
      <c r="E50" s="6" t="n"/>
      <c r="F50" s="12" t="n"/>
      <c r="G50" s="12" t="n"/>
    </row>
    <row r="51">
      <c r="A51" s="6" t="n"/>
      <c r="B51" s="6" t="n"/>
      <c r="C51" s="6" t="n"/>
      <c r="D51" s="6" t="n"/>
      <c r="E51" s="6" t="n"/>
      <c r="F51" s="12" t="n"/>
      <c r="G51" s="12" t="n"/>
    </row>
    <row r="52">
      <c r="A52" s="6" t="n"/>
      <c r="B52" s="6" t="n"/>
      <c r="C52" s="6" t="n"/>
      <c r="D52" s="6" t="n"/>
      <c r="E52" s="6" t="n"/>
      <c r="F52" s="12" t="n"/>
      <c r="G52" s="12" t="n"/>
    </row>
    <row r="53">
      <c r="A53" s="6" t="n"/>
      <c r="B53" s="6" t="n"/>
      <c r="C53" s="6" t="n"/>
      <c r="D53" s="6" t="n"/>
      <c r="E53" s="6" t="n"/>
      <c r="F53" s="12" t="n"/>
      <c r="G53" s="12" t="n"/>
    </row>
    <row r="54">
      <c r="A54" s="6" t="n"/>
      <c r="B54" s="6" t="n"/>
      <c r="C54" s="6" t="n"/>
      <c r="D54" s="6" t="n"/>
      <c r="E54" s="6" t="n"/>
      <c r="F54" s="12" t="n"/>
      <c r="G54" s="12" t="n"/>
    </row>
    <row r="55">
      <c r="A55" s="6" t="n"/>
      <c r="B55" s="6" t="n"/>
      <c r="C55" s="6" t="n"/>
      <c r="D55" s="6" t="n"/>
      <c r="E55" s="6" t="n"/>
      <c r="F55" s="12" t="n"/>
      <c r="G55" s="12" t="n"/>
    </row>
    <row r="56">
      <c r="A56" s="6" t="n"/>
      <c r="B56" s="6" t="n"/>
      <c r="C56" s="6" t="n"/>
      <c r="D56" s="6" t="n"/>
      <c r="E56" s="6" t="n"/>
      <c r="F56" s="12" t="n"/>
      <c r="G56" s="12" t="n"/>
    </row>
    <row r="57">
      <c r="A57" s="6" t="n"/>
      <c r="B57" s="6" t="n"/>
      <c r="C57" s="6" t="n"/>
      <c r="D57" s="6" t="n"/>
      <c r="E57" s="6" t="n"/>
      <c r="F57" s="12" t="n"/>
      <c r="G57" s="12" t="n"/>
    </row>
    <row r="58">
      <c r="A58" s="6" t="n"/>
      <c r="B58" s="6" t="n"/>
      <c r="C58" s="6" t="n"/>
      <c r="D58" s="6" t="n"/>
      <c r="E58" s="6" t="n"/>
      <c r="F58" s="12" t="n"/>
      <c r="G58" s="12" t="n"/>
    </row>
    <row r="59">
      <c r="A59" s="6" t="n"/>
      <c r="B59" s="6" t="n"/>
      <c r="C59" s="6" t="n"/>
      <c r="D59" s="6" t="n"/>
      <c r="E59" s="6" t="n"/>
      <c r="F59" s="12" t="n"/>
      <c r="G59" s="12" t="n"/>
    </row>
    <row r="60">
      <c r="A60" s="6" t="n"/>
      <c r="B60" s="6" t="n"/>
      <c r="C60" s="6" t="n"/>
      <c r="D60" s="6" t="n"/>
      <c r="E60" s="6" t="n"/>
      <c r="F60" s="12" t="n"/>
      <c r="G60" s="12" t="n"/>
    </row>
    <row r="61">
      <c r="A61" s="6" t="n"/>
      <c r="B61" s="6" t="n"/>
      <c r="C61" s="6" t="n"/>
      <c r="D61" s="6" t="n"/>
      <c r="E61" s="6" t="n"/>
      <c r="F61" s="12" t="n"/>
      <c r="G61" s="12" t="n"/>
    </row>
    <row r="62">
      <c r="A62" s="6" t="n"/>
      <c r="B62" s="6" t="n"/>
      <c r="C62" s="6" t="n"/>
      <c r="D62" s="6" t="n"/>
      <c r="E62" s="6" t="n"/>
      <c r="F62" s="12" t="n"/>
      <c r="G62" s="12" t="n"/>
    </row>
    <row r="63">
      <c r="A63" s="6" t="n"/>
      <c r="B63" s="6" t="n"/>
      <c r="C63" s="6" t="n"/>
      <c r="D63" s="6" t="n"/>
      <c r="E63" s="6" t="n"/>
      <c r="F63" s="12" t="n"/>
      <c r="G63" s="12" t="n"/>
    </row>
  </sheetData>
  <autoFilter ref="A4:G63"/>
  <mergeCells count="2">
    <mergeCell ref="A2:G2"/>
    <mergeCell ref="A1:G1"/>
  </mergeCells>
  <dataValidations count="1">
    <dataValidation sqref="F5:F63" showDropDown="0" showInputMessage="0" showErrorMessage="0" allowBlank="1" type="list">
      <formula1>"적용,검토중,미적용,해당없음"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1" customWidth="1" min="4" max="4"/>
    <col width="8" customWidth="1" min="5" max="5"/>
    <col width="40" customWidth="1" min="6" max="6"/>
    <col width="40" customWidth="1" min="7" max="7"/>
    <col width="9" customWidth="1" min="8" max="8"/>
    <col width="11" customWidth="1" min="9" max="9"/>
    <col width="9" customWidth="1" min="10" max="10"/>
  </cols>
  <sheetData>
    <row r="1">
      <c r="A1" s="11" t="inlineStr">
        <is>
          <t>3. 파이프라인 적재 점검</t>
        </is>
      </c>
    </row>
    <row r="2">
      <c r="A2" s="2" t="inlineStr">
        <is>
          <t>nb00_pipeline_check 출력(out/nb00_pipeline_report_*.csv) 붙여넣기 → G~J 열 기입</t>
        </is>
      </c>
    </row>
    <row r="4">
      <c r="A4" s="3" t="inlineStr">
        <is>
          <t>단계</t>
        </is>
      </c>
      <c r="B4" s="3" t="inlineStr">
        <is>
          <t>점검 항목</t>
        </is>
      </c>
      <c r="C4" s="3" t="inlineStr">
        <is>
          <t>측정값</t>
        </is>
      </c>
      <c r="D4" s="3" t="inlineStr">
        <is>
          <t>기준</t>
        </is>
      </c>
      <c r="E4" s="3" t="inlineStr">
        <is>
          <t>판정</t>
        </is>
      </c>
      <c r="F4" s="3" t="inlineStr">
        <is>
          <t>비고</t>
        </is>
      </c>
      <c r="G4" s="3" t="inlineStr">
        <is>
          <t>조치 내용</t>
        </is>
      </c>
      <c r="H4" s="3" t="inlineStr">
        <is>
          <t>담당</t>
        </is>
      </c>
      <c r="I4" s="3" t="inlineStr">
        <is>
          <t>기한</t>
        </is>
      </c>
      <c r="J4" s="3" t="inlineStr">
        <is>
          <t>상태</t>
        </is>
      </c>
    </row>
    <row r="5">
      <c r="A5" s="6" t="n"/>
      <c r="B5" s="6" t="n"/>
      <c r="C5" s="6" t="n"/>
      <c r="D5" s="6" t="n"/>
      <c r="E5" s="6" t="n"/>
      <c r="F5" s="6" t="n"/>
      <c r="G5" s="12" t="n"/>
      <c r="H5" s="12" t="n"/>
      <c r="I5" s="12" t="n"/>
      <c r="J5" s="12" t="n"/>
    </row>
    <row r="6">
      <c r="A6" s="6" t="n"/>
      <c r="B6" s="6" t="n"/>
      <c r="C6" s="6" t="n"/>
      <c r="D6" s="6" t="n"/>
      <c r="E6" s="6" t="n"/>
      <c r="F6" s="6" t="n"/>
      <c r="G6" s="12" t="n"/>
      <c r="H6" s="12" t="n"/>
      <c r="I6" s="12" t="n"/>
      <c r="J6" s="12" t="n"/>
    </row>
    <row r="7">
      <c r="A7" s="6" t="n"/>
      <c r="B7" s="6" t="n"/>
      <c r="C7" s="6" t="n"/>
      <c r="D7" s="6" t="n"/>
      <c r="E7" s="6" t="n"/>
      <c r="F7" s="6" t="n"/>
      <c r="G7" s="12" t="n"/>
      <c r="H7" s="12" t="n"/>
      <c r="I7" s="12" t="n"/>
      <c r="J7" s="12" t="n"/>
    </row>
    <row r="8">
      <c r="A8" s="6" t="n"/>
      <c r="B8" s="6" t="n"/>
      <c r="C8" s="6" t="n"/>
      <c r="D8" s="6" t="n"/>
      <c r="E8" s="6" t="n"/>
      <c r="F8" s="6" t="n"/>
      <c r="G8" s="12" t="n"/>
      <c r="H8" s="12" t="n"/>
      <c r="I8" s="12" t="n"/>
      <c r="J8" s="12" t="n"/>
    </row>
    <row r="9">
      <c r="A9" s="6" t="n"/>
      <c r="B9" s="6" t="n"/>
      <c r="C9" s="6" t="n"/>
      <c r="D9" s="6" t="n"/>
      <c r="E9" s="6" t="n"/>
      <c r="F9" s="6" t="n"/>
      <c r="G9" s="12" t="n"/>
      <c r="H9" s="12" t="n"/>
      <c r="I9" s="12" t="n"/>
      <c r="J9" s="12" t="n"/>
    </row>
    <row r="10">
      <c r="A10" s="6" t="n"/>
      <c r="B10" s="6" t="n"/>
      <c r="C10" s="6" t="n"/>
      <c r="D10" s="6" t="n"/>
      <c r="E10" s="6" t="n"/>
      <c r="F10" s="6" t="n"/>
      <c r="G10" s="12" t="n"/>
      <c r="H10" s="12" t="n"/>
      <c r="I10" s="12" t="n"/>
      <c r="J10" s="12" t="n"/>
    </row>
    <row r="11">
      <c r="A11" s="6" t="n"/>
      <c r="B11" s="6" t="n"/>
      <c r="C11" s="6" t="n"/>
      <c r="D11" s="6" t="n"/>
      <c r="E11" s="6" t="n"/>
      <c r="F11" s="6" t="n"/>
      <c r="G11" s="12" t="n"/>
      <c r="H11" s="12" t="n"/>
      <c r="I11" s="12" t="n"/>
      <c r="J11" s="12" t="n"/>
    </row>
    <row r="12">
      <c r="A12" s="6" t="n"/>
      <c r="B12" s="6" t="n"/>
      <c r="C12" s="6" t="n"/>
      <c r="D12" s="6" t="n"/>
      <c r="E12" s="6" t="n"/>
      <c r="F12" s="6" t="n"/>
      <c r="G12" s="12" t="n"/>
      <c r="H12" s="12" t="n"/>
      <c r="I12" s="12" t="n"/>
      <c r="J12" s="12" t="n"/>
    </row>
    <row r="13">
      <c r="A13" s="6" t="n"/>
      <c r="B13" s="6" t="n"/>
      <c r="C13" s="6" t="n"/>
      <c r="D13" s="6" t="n"/>
      <c r="E13" s="6" t="n"/>
      <c r="F13" s="6" t="n"/>
      <c r="G13" s="12" t="n"/>
      <c r="H13" s="12" t="n"/>
      <c r="I13" s="12" t="n"/>
      <c r="J13" s="12" t="n"/>
    </row>
    <row r="14">
      <c r="A14" s="6" t="n"/>
      <c r="B14" s="6" t="n"/>
      <c r="C14" s="6" t="n"/>
      <c r="D14" s="6" t="n"/>
      <c r="E14" s="6" t="n"/>
      <c r="F14" s="6" t="n"/>
      <c r="G14" s="12" t="n"/>
      <c r="H14" s="12" t="n"/>
      <c r="I14" s="12" t="n"/>
      <c r="J14" s="12" t="n"/>
    </row>
    <row r="15">
      <c r="A15" s="6" t="n"/>
      <c r="B15" s="6" t="n"/>
      <c r="C15" s="6" t="n"/>
      <c r="D15" s="6" t="n"/>
      <c r="E15" s="6" t="n"/>
      <c r="F15" s="6" t="n"/>
      <c r="G15" s="12" t="n"/>
      <c r="H15" s="12" t="n"/>
      <c r="I15" s="12" t="n"/>
      <c r="J15" s="12" t="n"/>
    </row>
    <row r="16">
      <c r="A16" s="6" t="n"/>
      <c r="B16" s="6" t="n"/>
      <c r="C16" s="6" t="n"/>
      <c r="D16" s="6" t="n"/>
      <c r="E16" s="6" t="n"/>
      <c r="F16" s="6" t="n"/>
      <c r="G16" s="12" t="n"/>
      <c r="H16" s="12" t="n"/>
      <c r="I16" s="12" t="n"/>
      <c r="J16" s="12" t="n"/>
    </row>
    <row r="17">
      <c r="A17" s="6" t="n"/>
      <c r="B17" s="6" t="n"/>
      <c r="C17" s="6" t="n"/>
      <c r="D17" s="6" t="n"/>
      <c r="E17" s="6" t="n"/>
      <c r="F17" s="6" t="n"/>
      <c r="G17" s="12" t="n"/>
      <c r="H17" s="12" t="n"/>
      <c r="I17" s="12" t="n"/>
      <c r="J17" s="12" t="n"/>
    </row>
    <row r="18">
      <c r="A18" s="6" t="n"/>
      <c r="B18" s="6" t="n"/>
      <c r="C18" s="6" t="n"/>
      <c r="D18" s="6" t="n"/>
      <c r="E18" s="6" t="n"/>
      <c r="F18" s="6" t="n"/>
      <c r="G18" s="12" t="n"/>
      <c r="H18" s="12" t="n"/>
      <c r="I18" s="12" t="n"/>
      <c r="J18" s="12" t="n"/>
    </row>
    <row r="19">
      <c r="A19" s="6" t="n"/>
      <c r="B19" s="6" t="n"/>
      <c r="C19" s="6" t="n"/>
      <c r="D19" s="6" t="n"/>
      <c r="E19" s="6" t="n"/>
      <c r="F19" s="6" t="n"/>
      <c r="G19" s="12" t="n"/>
      <c r="H19" s="12" t="n"/>
      <c r="I19" s="12" t="n"/>
      <c r="J19" s="12" t="n"/>
    </row>
    <row r="20">
      <c r="A20" s="6" t="n"/>
      <c r="B20" s="6" t="n"/>
      <c r="C20" s="6" t="n"/>
      <c r="D20" s="6" t="n"/>
      <c r="E20" s="6" t="n"/>
      <c r="F20" s="6" t="n"/>
      <c r="G20" s="12" t="n"/>
      <c r="H20" s="12" t="n"/>
      <c r="I20" s="12" t="n"/>
      <c r="J20" s="12" t="n"/>
    </row>
    <row r="21">
      <c r="A21" s="6" t="n"/>
      <c r="B21" s="6" t="n"/>
      <c r="C21" s="6" t="n"/>
      <c r="D21" s="6" t="n"/>
      <c r="E21" s="6" t="n"/>
      <c r="F21" s="6" t="n"/>
      <c r="G21" s="12" t="n"/>
      <c r="H21" s="12" t="n"/>
      <c r="I21" s="12" t="n"/>
      <c r="J21" s="12" t="n"/>
    </row>
    <row r="22">
      <c r="A22" s="6" t="n"/>
      <c r="B22" s="6" t="n"/>
      <c r="C22" s="6" t="n"/>
      <c r="D22" s="6" t="n"/>
      <c r="E22" s="6" t="n"/>
      <c r="F22" s="6" t="n"/>
      <c r="G22" s="12" t="n"/>
      <c r="H22" s="12" t="n"/>
      <c r="I22" s="12" t="n"/>
      <c r="J22" s="12" t="n"/>
    </row>
    <row r="23">
      <c r="A23" s="6" t="n"/>
      <c r="B23" s="6" t="n"/>
      <c r="C23" s="6" t="n"/>
      <c r="D23" s="6" t="n"/>
      <c r="E23" s="6" t="n"/>
      <c r="F23" s="6" t="n"/>
      <c r="G23" s="12" t="n"/>
      <c r="H23" s="12" t="n"/>
      <c r="I23" s="12" t="n"/>
      <c r="J23" s="12" t="n"/>
    </row>
    <row r="24">
      <c r="A24" s="6" t="n"/>
      <c r="B24" s="6" t="n"/>
      <c r="C24" s="6" t="n"/>
      <c r="D24" s="6" t="n"/>
      <c r="E24" s="6" t="n"/>
      <c r="F24" s="6" t="n"/>
      <c r="G24" s="12" t="n"/>
      <c r="H24" s="12" t="n"/>
      <c r="I24" s="12" t="n"/>
      <c r="J24" s="12" t="n"/>
    </row>
    <row r="25">
      <c r="A25" s="6" t="n"/>
      <c r="B25" s="6" t="n"/>
      <c r="C25" s="6" t="n"/>
      <c r="D25" s="6" t="n"/>
      <c r="E25" s="6" t="n"/>
      <c r="F25" s="6" t="n"/>
      <c r="G25" s="12" t="n"/>
      <c r="H25" s="12" t="n"/>
      <c r="I25" s="12" t="n"/>
      <c r="J25" s="12" t="n"/>
    </row>
    <row r="26">
      <c r="A26" s="6" t="n"/>
      <c r="B26" s="6" t="n"/>
      <c r="C26" s="6" t="n"/>
      <c r="D26" s="6" t="n"/>
      <c r="E26" s="6" t="n"/>
      <c r="F26" s="6" t="n"/>
      <c r="G26" s="12" t="n"/>
      <c r="H26" s="12" t="n"/>
      <c r="I26" s="12" t="n"/>
      <c r="J26" s="12" t="n"/>
    </row>
    <row r="27">
      <c r="A27" s="6" t="n"/>
      <c r="B27" s="6" t="n"/>
      <c r="C27" s="6" t="n"/>
      <c r="D27" s="6" t="n"/>
      <c r="E27" s="6" t="n"/>
      <c r="F27" s="6" t="n"/>
      <c r="G27" s="12" t="n"/>
      <c r="H27" s="12" t="n"/>
      <c r="I27" s="12" t="n"/>
      <c r="J27" s="12" t="n"/>
    </row>
    <row r="28">
      <c r="A28" s="6" t="n"/>
      <c r="B28" s="6" t="n"/>
      <c r="C28" s="6" t="n"/>
      <c r="D28" s="6" t="n"/>
      <c r="E28" s="6" t="n"/>
      <c r="F28" s="6" t="n"/>
      <c r="G28" s="12" t="n"/>
      <c r="H28" s="12" t="n"/>
      <c r="I28" s="12" t="n"/>
      <c r="J28" s="12" t="n"/>
    </row>
    <row r="29">
      <c r="A29" s="6" t="n"/>
      <c r="B29" s="6" t="n"/>
      <c r="C29" s="6" t="n"/>
      <c r="D29" s="6" t="n"/>
      <c r="E29" s="6" t="n"/>
      <c r="F29" s="6" t="n"/>
      <c r="G29" s="12" t="n"/>
      <c r="H29" s="12" t="n"/>
      <c r="I29" s="12" t="n"/>
      <c r="J29" s="12" t="n"/>
    </row>
    <row r="30">
      <c r="A30" s="6" t="n"/>
      <c r="B30" s="6" t="n"/>
      <c r="C30" s="6" t="n"/>
      <c r="D30" s="6" t="n"/>
      <c r="E30" s="6" t="n"/>
      <c r="F30" s="6" t="n"/>
      <c r="G30" s="12" t="n"/>
      <c r="H30" s="12" t="n"/>
      <c r="I30" s="12" t="n"/>
      <c r="J30" s="12" t="n"/>
    </row>
    <row r="31">
      <c r="A31" s="6" t="n"/>
      <c r="B31" s="6" t="n"/>
      <c r="C31" s="6" t="n"/>
      <c r="D31" s="6" t="n"/>
      <c r="E31" s="6" t="n"/>
      <c r="F31" s="6" t="n"/>
      <c r="G31" s="12" t="n"/>
      <c r="H31" s="12" t="n"/>
      <c r="I31" s="12" t="n"/>
      <c r="J31" s="12" t="n"/>
    </row>
    <row r="32">
      <c r="A32" s="6" t="n"/>
      <c r="B32" s="6" t="n"/>
      <c r="C32" s="6" t="n"/>
      <c r="D32" s="6" t="n"/>
      <c r="E32" s="6" t="n"/>
      <c r="F32" s="6" t="n"/>
      <c r="G32" s="12" t="n"/>
      <c r="H32" s="12" t="n"/>
      <c r="I32" s="12" t="n"/>
      <c r="J32" s="12" t="n"/>
    </row>
    <row r="33">
      <c r="A33" s="6" t="n"/>
      <c r="B33" s="6" t="n"/>
      <c r="C33" s="6" t="n"/>
      <c r="D33" s="6" t="n"/>
      <c r="E33" s="6" t="n"/>
      <c r="F33" s="6" t="n"/>
      <c r="G33" s="12" t="n"/>
      <c r="H33" s="12" t="n"/>
      <c r="I33" s="12" t="n"/>
      <c r="J33" s="12" t="n"/>
    </row>
    <row r="34">
      <c r="A34" s="6" t="n"/>
      <c r="B34" s="6" t="n"/>
      <c r="C34" s="6" t="n"/>
      <c r="D34" s="6" t="n"/>
      <c r="E34" s="6" t="n"/>
      <c r="F34" s="6" t="n"/>
      <c r="G34" s="12" t="n"/>
      <c r="H34" s="12" t="n"/>
      <c r="I34" s="12" t="n"/>
      <c r="J34" s="12" t="n"/>
    </row>
    <row r="35">
      <c r="A35" s="6" t="n"/>
      <c r="B35" s="6" t="n"/>
      <c r="C35" s="6" t="n"/>
      <c r="D35" s="6" t="n"/>
      <c r="E35" s="6" t="n"/>
      <c r="F35" s="6" t="n"/>
      <c r="G35" s="12" t="n"/>
      <c r="H35" s="12" t="n"/>
      <c r="I35" s="12" t="n"/>
      <c r="J35" s="12" t="n"/>
    </row>
    <row r="36">
      <c r="A36" s="6" t="n"/>
      <c r="B36" s="6" t="n"/>
      <c r="C36" s="6" t="n"/>
      <c r="D36" s="6" t="n"/>
      <c r="E36" s="6" t="n"/>
      <c r="F36" s="6" t="n"/>
      <c r="G36" s="12" t="n"/>
      <c r="H36" s="12" t="n"/>
      <c r="I36" s="12" t="n"/>
      <c r="J36" s="12" t="n"/>
    </row>
    <row r="37">
      <c r="A37" s="6" t="n"/>
      <c r="B37" s="6" t="n"/>
      <c r="C37" s="6" t="n"/>
      <c r="D37" s="6" t="n"/>
      <c r="E37" s="6" t="n"/>
      <c r="F37" s="6" t="n"/>
      <c r="G37" s="12" t="n"/>
      <c r="H37" s="12" t="n"/>
      <c r="I37" s="12" t="n"/>
      <c r="J37" s="12" t="n"/>
    </row>
    <row r="38">
      <c r="A38" s="6" t="n"/>
      <c r="B38" s="6" t="n"/>
      <c r="C38" s="6" t="n"/>
      <c r="D38" s="6" t="n"/>
      <c r="E38" s="6" t="n"/>
      <c r="F38" s="6" t="n"/>
      <c r="G38" s="12" t="n"/>
      <c r="H38" s="12" t="n"/>
      <c r="I38" s="12" t="n"/>
      <c r="J38" s="12" t="n"/>
    </row>
    <row r="39">
      <c r="A39" s="6" t="n"/>
      <c r="B39" s="6" t="n"/>
      <c r="C39" s="6" t="n"/>
      <c r="D39" s="6" t="n"/>
      <c r="E39" s="6" t="n"/>
      <c r="F39" s="6" t="n"/>
      <c r="G39" s="12" t="n"/>
      <c r="H39" s="12" t="n"/>
      <c r="I39" s="12" t="n"/>
      <c r="J39" s="12" t="n"/>
    </row>
    <row r="40">
      <c r="A40" s="6" t="n"/>
      <c r="B40" s="6" t="n"/>
      <c r="C40" s="6" t="n"/>
      <c r="D40" s="6" t="n"/>
      <c r="E40" s="6" t="n"/>
      <c r="F40" s="6" t="n"/>
      <c r="G40" s="12" t="n"/>
      <c r="H40" s="12" t="n"/>
      <c r="I40" s="12" t="n"/>
      <c r="J40" s="12" t="n"/>
    </row>
    <row r="41">
      <c r="A41" s="6" t="n"/>
      <c r="B41" s="6" t="n"/>
      <c r="C41" s="6" t="n"/>
      <c r="D41" s="6" t="n"/>
      <c r="E41" s="6" t="n"/>
      <c r="F41" s="6" t="n"/>
      <c r="G41" s="12" t="n"/>
      <c r="H41" s="12" t="n"/>
      <c r="I41" s="12" t="n"/>
      <c r="J41" s="12" t="n"/>
    </row>
    <row r="42">
      <c r="A42" s="6" t="n"/>
      <c r="B42" s="6" t="n"/>
      <c r="C42" s="6" t="n"/>
      <c r="D42" s="6" t="n"/>
      <c r="E42" s="6" t="n"/>
      <c r="F42" s="6" t="n"/>
      <c r="G42" s="12" t="n"/>
      <c r="H42" s="12" t="n"/>
      <c r="I42" s="12" t="n"/>
      <c r="J42" s="12" t="n"/>
    </row>
    <row r="43">
      <c r="A43" s="6" t="n"/>
      <c r="B43" s="6" t="n"/>
      <c r="C43" s="6" t="n"/>
      <c r="D43" s="6" t="n"/>
      <c r="E43" s="6" t="n"/>
      <c r="F43" s="6" t="n"/>
      <c r="G43" s="12" t="n"/>
      <c r="H43" s="12" t="n"/>
      <c r="I43" s="12" t="n"/>
      <c r="J43" s="12" t="n"/>
    </row>
    <row r="44">
      <c r="A44" s="6" t="n"/>
      <c r="B44" s="6" t="n"/>
      <c r="C44" s="6" t="n"/>
      <c r="D44" s="6" t="n"/>
      <c r="E44" s="6" t="n"/>
      <c r="F44" s="6" t="n"/>
      <c r="G44" s="12" t="n"/>
      <c r="H44" s="12" t="n"/>
      <c r="I44" s="12" t="n"/>
      <c r="J44" s="12" t="n"/>
    </row>
    <row r="45">
      <c r="A45" s="6" t="n"/>
      <c r="B45" s="6" t="n"/>
      <c r="C45" s="6" t="n"/>
      <c r="D45" s="6" t="n"/>
      <c r="E45" s="6" t="n"/>
      <c r="F45" s="6" t="n"/>
      <c r="G45" s="12" t="n"/>
      <c r="H45" s="12" t="n"/>
      <c r="I45" s="12" t="n"/>
      <c r="J45" s="12" t="n"/>
    </row>
    <row r="46">
      <c r="A46" s="6" t="n"/>
      <c r="B46" s="6" t="n"/>
      <c r="C46" s="6" t="n"/>
      <c r="D46" s="6" t="n"/>
      <c r="E46" s="6" t="n"/>
      <c r="F46" s="6" t="n"/>
      <c r="G46" s="12" t="n"/>
      <c r="H46" s="12" t="n"/>
      <c r="I46" s="12" t="n"/>
      <c r="J46" s="12" t="n"/>
    </row>
    <row r="47">
      <c r="A47" s="6" t="n"/>
      <c r="B47" s="6" t="n"/>
      <c r="C47" s="6" t="n"/>
      <c r="D47" s="6" t="n"/>
      <c r="E47" s="6" t="n"/>
      <c r="F47" s="6" t="n"/>
      <c r="G47" s="12" t="n"/>
      <c r="H47" s="12" t="n"/>
      <c r="I47" s="12" t="n"/>
      <c r="J47" s="12" t="n"/>
    </row>
    <row r="48">
      <c r="A48" s="6" t="n"/>
      <c r="B48" s="6" t="n"/>
      <c r="C48" s="6" t="n"/>
      <c r="D48" s="6" t="n"/>
      <c r="E48" s="6" t="n"/>
      <c r="F48" s="6" t="n"/>
      <c r="G48" s="12" t="n"/>
      <c r="H48" s="12" t="n"/>
      <c r="I48" s="12" t="n"/>
      <c r="J48" s="12" t="n"/>
    </row>
    <row r="49">
      <c r="A49" s="6" t="n"/>
      <c r="B49" s="6" t="n"/>
      <c r="C49" s="6" t="n"/>
      <c r="D49" s="6" t="n"/>
      <c r="E49" s="6" t="n"/>
      <c r="F49" s="6" t="n"/>
      <c r="G49" s="12" t="n"/>
      <c r="H49" s="12" t="n"/>
      <c r="I49" s="12" t="n"/>
      <c r="J49" s="12" t="n"/>
    </row>
    <row r="50">
      <c r="A50" s="6" t="n"/>
      <c r="B50" s="6" t="n"/>
      <c r="C50" s="6" t="n"/>
      <c r="D50" s="6" t="n"/>
      <c r="E50" s="6" t="n"/>
      <c r="F50" s="6" t="n"/>
      <c r="G50" s="12" t="n"/>
      <c r="H50" s="12" t="n"/>
      <c r="I50" s="12" t="n"/>
      <c r="J50" s="12" t="n"/>
    </row>
    <row r="51">
      <c r="A51" s="6" t="n"/>
      <c r="B51" s="6" t="n"/>
      <c r="C51" s="6" t="n"/>
      <c r="D51" s="6" t="n"/>
      <c r="E51" s="6" t="n"/>
      <c r="F51" s="6" t="n"/>
      <c r="G51" s="12" t="n"/>
      <c r="H51" s="12" t="n"/>
      <c r="I51" s="12" t="n"/>
      <c r="J51" s="12" t="n"/>
    </row>
    <row r="52">
      <c r="A52" s="6" t="n"/>
      <c r="B52" s="6" t="n"/>
      <c r="C52" s="6" t="n"/>
      <c r="D52" s="6" t="n"/>
      <c r="E52" s="6" t="n"/>
      <c r="F52" s="6" t="n"/>
      <c r="G52" s="12" t="n"/>
      <c r="H52" s="12" t="n"/>
      <c r="I52" s="12" t="n"/>
      <c r="J52" s="12" t="n"/>
    </row>
    <row r="53">
      <c r="A53" s="6" t="n"/>
      <c r="B53" s="6" t="n"/>
      <c r="C53" s="6" t="n"/>
      <c r="D53" s="6" t="n"/>
      <c r="E53" s="6" t="n"/>
      <c r="F53" s="6" t="n"/>
      <c r="G53" s="12" t="n"/>
      <c r="H53" s="12" t="n"/>
      <c r="I53" s="12" t="n"/>
      <c r="J53" s="12" t="n"/>
    </row>
    <row r="54">
      <c r="A54" s="6" t="n"/>
      <c r="B54" s="6" t="n"/>
      <c r="C54" s="6" t="n"/>
      <c r="D54" s="6" t="n"/>
      <c r="E54" s="6" t="n"/>
      <c r="F54" s="6" t="n"/>
      <c r="G54" s="12" t="n"/>
      <c r="H54" s="12" t="n"/>
      <c r="I54" s="12" t="n"/>
      <c r="J54" s="12" t="n"/>
    </row>
    <row r="55">
      <c r="A55" s="6" t="n"/>
      <c r="B55" s="6" t="n"/>
      <c r="C55" s="6" t="n"/>
      <c r="D55" s="6" t="n"/>
      <c r="E55" s="6" t="n"/>
      <c r="F55" s="6" t="n"/>
      <c r="G55" s="12" t="n"/>
      <c r="H55" s="12" t="n"/>
      <c r="I55" s="12" t="n"/>
      <c r="J55" s="12" t="n"/>
    </row>
    <row r="56">
      <c r="A56" s="6" t="n"/>
      <c r="B56" s="6" t="n"/>
      <c r="C56" s="6" t="n"/>
      <c r="D56" s="6" t="n"/>
      <c r="E56" s="6" t="n"/>
      <c r="F56" s="6" t="n"/>
      <c r="G56" s="12" t="n"/>
      <c r="H56" s="12" t="n"/>
      <c r="I56" s="12" t="n"/>
      <c r="J56" s="12" t="n"/>
    </row>
    <row r="57">
      <c r="A57" s="6" t="n"/>
      <c r="B57" s="6" t="n"/>
      <c r="C57" s="6" t="n"/>
      <c r="D57" s="6" t="n"/>
      <c r="E57" s="6" t="n"/>
      <c r="F57" s="6" t="n"/>
      <c r="G57" s="12" t="n"/>
      <c r="H57" s="12" t="n"/>
      <c r="I57" s="12" t="n"/>
      <c r="J57" s="12" t="n"/>
    </row>
    <row r="58">
      <c r="A58" s="6" t="n"/>
      <c r="B58" s="6" t="n"/>
      <c r="C58" s="6" t="n"/>
      <c r="D58" s="6" t="n"/>
      <c r="E58" s="6" t="n"/>
      <c r="F58" s="6" t="n"/>
      <c r="G58" s="12" t="n"/>
      <c r="H58" s="12" t="n"/>
      <c r="I58" s="12" t="n"/>
      <c r="J58" s="12" t="n"/>
    </row>
    <row r="59">
      <c r="A59" s="6" t="n"/>
      <c r="B59" s="6" t="n"/>
      <c r="C59" s="6" t="n"/>
      <c r="D59" s="6" t="n"/>
      <c r="E59" s="6" t="n"/>
      <c r="F59" s="6" t="n"/>
      <c r="G59" s="12" t="n"/>
      <c r="H59" s="12" t="n"/>
      <c r="I59" s="12" t="n"/>
      <c r="J59" s="12" t="n"/>
    </row>
    <row r="60">
      <c r="A60" s="6" t="n"/>
      <c r="B60" s="6" t="n"/>
      <c r="C60" s="6" t="n"/>
      <c r="D60" s="6" t="n"/>
      <c r="E60" s="6" t="n"/>
      <c r="F60" s="6" t="n"/>
      <c r="G60" s="12" t="n"/>
      <c r="H60" s="12" t="n"/>
      <c r="I60" s="12" t="n"/>
      <c r="J60" s="12" t="n"/>
    </row>
    <row r="61">
      <c r="A61" s="6" t="n"/>
      <c r="B61" s="6" t="n"/>
      <c r="C61" s="6" t="n"/>
      <c r="D61" s="6" t="n"/>
      <c r="E61" s="6" t="n"/>
      <c r="F61" s="6" t="n"/>
      <c r="G61" s="12" t="n"/>
      <c r="H61" s="12" t="n"/>
      <c r="I61" s="12" t="n"/>
      <c r="J61" s="12" t="n"/>
    </row>
    <row r="62">
      <c r="A62" s="6" t="n"/>
      <c r="B62" s="6" t="n"/>
      <c r="C62" s="6" t="n"/>
      <c r="D62" s="6" t="n"/>
      <c r="E62" s="6" t="n"/>
      <c r="F62" s="6" t="n"/>
      <c r="G62" s="12" t="n"/>
      <c r="H62" s="12" t="n"/>
      <c r="I62" s="12" t="n"/>
      <c r="J62" s="12" t="n"/>
    </row>
    <row r="63">
      <c r="A63" s="6" t="n"/>
      <c r="B63" s="6" t="n"/>
      <c r="C63" s="6" t="n"/>
      <c r="D63" s="6" t="n"/>
      <c r="E63" s="6" t="n"/>
      <c r="F63" s="6" t="n"/>
      <c r="G63" s="12" t="n"/>
      <c r="H63" s="12" t="n"/>
      <c r="I63" s="12" t="n"/>
      <c r="J63" s="12" t="n"/>
    </row>
    <row r="64">
      <c r="A64" s="6" t="n"/>
      <c r="B64" s="6" t="n"/>
      <c r="C64" s="6" t="n"/>
      <c r="D64" s="6" t="n"/>
      <c r="E64" s="6" t="n"/>
      <c r="F64" s="6" t="n"/>
      <c r="G64" s="12" t="n"/>
      <c r="H64" s="12" t="n"/>
      <c r="I64" s="12" t="n"/>
      <c r="J64" s="12" t="n"/>
    </row>
    <row r="65">
      <c r="A65" s="6" t="n"/>
      <c r="B65" s="6" t="n"/>
      <c r="C65" s="6" t="n"/>
      <c r="D65" s="6" t="n"/>
      <c r="E65" s="6" t="n"/>
      <c r="F65" s="6" t="n"/>
      <c r="G65" s="12" t="n"/>
      <c r="H65" s="12" t="n"/>
      <c r="I65" s="12" t="n"/>
      <c r="J65" s="12" t="n"/>
    </row>
    <row r="66">
      <c r="A66" s="6" t="n"/>
      <c r="B66" s="6" t="n"/>
      <c r="C66" s="6" t="n"/>
      <c r="D66" s="6" t="n"/>
      <c r="E66" s="6" t="n"/>
      <c r="F66" s="6" t="n"/>
      <c r="G66" s="12" t="n"/>
      <c r="H66" s="12" t="n"/>
      <c r="I66" s="12" t="n"/>
      <c r="J66" s="12" t="n"/>
    </row>
    <row r="67">
      <c r="A67" s="6" t="n"/>
      <c r="B67" s="6" t="n"/>
      <c r="C67" s="6" t="n"/>
      <c r="D67" s="6" t="n"/>
      <c r="E67" s="6" t="n"/>
      <c r="F67" s="6" t="n"/>
      <c r="G67" s="12" t="n"/>
      <c r="H67" s="12" t="n"/>
      <c r="I67" s="12" t="n"/>
      <c r="J67" s="12" t="n"/>
    </row>
    <row r="68">
      <c r="A68" s="6" t="n"/>
      <c r="B68" s="6" t="n"/>
      <c r="C68" s="6" t="n"/>
      <c r="D68" s="6" t="n"/>
      <c r="E68" s="6" t="n"/>
      <c r="F68" s="6" t="n"/>
      <c r="G68" s="12" t="n"/>
      <c r="H68" s="12" t="n"/>
      <c r="I68" s="12" t="n"/>
      <c r="J68" s="12" t="n"/>
    </row>
    <row r="69">
      <c r="A69" s="6" t="n"/>
      <c r="B69" s="6" t="n"/>
      <c r="C69" s="6" t="n"/>
      <c r="D69" s="6" t="n"/>
      <c r="E69" s="6" t="n"/>
      <c r="F69" s="6" t="n"/>
      <c r="G69" s="12" t="n"/>
      <c r="H69" s="12" t="n"/>
      <c r="I69" s="12" t="n"/>
      <c r="J69" s="12" t="n"/>
    </row>
    <row r="70">
      <c r="A70" s="6" t="n"/>
      <c r="B70" s="6" t="n"/>
      <c r="C70" s="6" t="n"/>
      <c r="D70" s="6" t="n"/>
      <c r="E70" s="6" t="n"/>
      <c r="F70" s="6" t="n"/>
      <c r="G70" s="12" t="n"/>
      <c r="H70" s="12" t="n"/>
      <c r="I70" s="12" t="n"/>
      <c r="J70" s="12" t="n"/>
    </row>
    <row r="71">
      <c r="A71" s="6" t="n"/>
      <c r="B71" s="6" t="n"/>
      <c r="C71" s="6" t="n"/>
      <c r="D71" s="6" t="n"/>
      <c r="E71" s="6" t="n"/>
      <c r="F71" s="6" t="n"/>
      <c r="G71" s="12" t="n"/>
      <c r="H71" s="12" t="n"/>
      <c r="I71" s="12" t="n"/>
      <c r="J71" s="12" t="n"/>
    </row>
    <row r="72">
      <c r="A72" s="6" t="n"/>
      <c r="B72" s="6" t="n"/>
      <c r="C72" s="6" t="n"/>
      <c r="D72" s="6" t="n"/>
      <c r="E72" s="6" t="n"/>
      <c r="F72" s="6" t="n"/>
      <c r="G72" s="12" t="n"/>
      <c r="H72" s="12" t="n"/>
      <c r="I72" s="12" t="n"/>
      <c r="J72" s="12" t="n"/>
    </row>
    <row r="73">
      <c r="A73" s="6" t="n"/>
      <c r="B73" s="6" t="n"/>
      <c r="C73" s="6" t="n"/>
      <c r="D73" s="6" t="n"/>
      <c r="E73" s="6" t="n"/>
      <c r="F73" s="6" t="n"/>
      <c r="G73" s="12" t="n"/>
      <c r="H73" s="12" t="n"/>
      <c r="I73" s="12" t="n"/>
      <c r="J73" s="12" t="n"/>
    </row>
    <row r="74">
      <c r="A74" s="6" t="n"/>
      <c r="B74" s="6" t="n"/>
      <c r="C74" s="6" t="n"/>
      <c r="D74" s="6" t="n"/>
      <c r="E74" s="6" t="n"/>
      <c r="F74" s="6" t="n"/>
      <c r="G74" s="12" t="n"/>
      <c r="H74" s="12" t="n"/>
      <c r="I74" s="12" t="n"/>
      <c r="J74" s="12" t="n"/>
    </row>
    <row r="75">
      <c r="A75" s="6" t="n"/>
      <c r="B75" s="6" t="n"/>
      <c r="C75" s="6" t="n"/>
      <c r="D75" s="6" t="n"/>
      <c r="E75" s="6" t="n"/>
      <c r="F75" s="6" t="n"/>
      <c r="G75" s="12" t="n"/>
      <c r="H75" s="12" t="n"/>
      <c r="I75" s="12" t="n"/>
      <c r="J75" s="12" t="n"/>
    </row>
    <row r="76">
      <c r="A76" s="6" t="n"/>
      <c r="B76" s="6" t="n"/>
      <c r="C76" s="6" t="n"/>
      <c r="D76" s="6" t="n"/>
      <c r="E76" s="6" t="n"/>
      <c r="F76" s="6" t="n"/>
      <c r="G76" s="12" t="n"/>
      <c r="H76" s="12" t="n"/>
      <c r="I76" s="12" t="n"/>
      <c r="J76" s="12" t="n"/>
    </row>
    <row r="77">
      <c r="A77" s="6" t="n"/>
      <c r="B77" s="6" t="n"/>
      <c r="C77" s="6" t="n"/>
      <c r="D77" s="6" t="n"/>
      <c r="E77" s="6" t="n"/>
      <c r="F77" s="6" t="n"/>
      <c r="G77" s="12" t="n"/>
      <c r="H77" s="12" t="n"/>
      <c r="I77" s="12" t="n"/>
      <c r="J77" s="12" t="n"/>
    </row>
    <row r="78">
      <c r="A78" s="6" t="n"/>
      <c r="B78" s="6" t="n"/>
      <c r="C78" s="6" t="n"/>
      <c r="D78" s="6" t="n"/>
      <c r="E78" s="6" t="n"/>
      <c r="F78" s="6" t="n"/>
      <c r="G78" s="12" t="n"/>
      <c r="H78" s="12" t="n"/>
      <c r="I78" s="12" t="n"/>
      <c r="J78" s="12" t="n"/>
    </row>
    <row r="79">
      <c r="A79" s="6" t="n"/>
      <c r="B79" s="6" t="n"/>
      <c r="C79" s="6" t="n"/>
      <c r="D79" s="6" t="n"/>
      <c r="E79" s="6" t="n"/>
      <c r="F79" s="6" t="n"/>
      <c r="G79" s="12" t="n"/>
      <c r="H79" s="12" t="n"/>
      <c r="I79" s="12" t="n"/>
      <c r="J79" s="12" t="n"/>
    </row>
    <row r="80">
      <c r="A80" s="6" t="n"/>
      <c r="B80" s="6" t="n"/>
      <c r="C80" s="6" t="n"/>
      <c r="D80" s="6" t="n"/>
      <c r="E80" s="6" t="n"/>
      <c r="F80" s="6" t="n"/>
      <c r="G80" s="12" t="n"/>
      <c r="H80" s="12" t="n"/>
      <c r="I80" s="12" t="n"/>
      <c r="J80" s="12" t="n"/>
    </row>
    <row r="81">
      <c r="A81" s="6" t="n"/>
      <c r="B81" s="6" t="n"/>
      <c r="C81" s="6" t="n"/>
      <c r="D81" s="6" t="n"/>
      <c r="E81" s="6" t="n"/>
      <c r="F81" s="6" t="n"/>
      <c r="G81" s="12" t="n"/>
      <c r="H81" s="12" t="n"/>
      <c r="I81" s="12" t="n"/>
      <c r="J81" s="12" t="n"/>
    </row>
    <row r="82">
      <c r="A82" s="6" t="n"/>
      <c r="B82" s="6" t="n"/>
      <c r="C82" s="6" t="n"/>
      <c r="D82" s="6" t="n"/>
      <c r="E82" s="6" t="n"/>
      <c r="F82" s="6" t="n"/>
      <c r="G82" s="12" t="n"/>
      <c r="H82" s="12" t="n"/>
      <c r="I82" s="12" t="n"/>
      <c r="J82" s="12" t="n"/>
    </row>
    <row r="83">
      <c r="A83" s="6" t="n"/>
      <c r="B83" s="6" t="n"/>
      <c r="C83" s="6" t="n"/>
      <c r="D83" s="6" t="n"/>
      <c r="E83" s="6" t="n"/>
      <c r="F83" s="6" t="n"/>
      <c r="G83" s="12" t="n"/>
      <c r="H83" s="12" t="n"/>
      <c r="I83" s="12" t="n"/>
      <c r="J83" s="12" t="n"/>
    </row>
    <row r="84">
      <c r="A84" s="6" t="n"/>
      <c r="B84" s="6" t="n"/>
      <c r="C84" s="6" t="n"/>
      <c r="D84" s="6" t="n"/>
      <c r="E84" s="6" t="n"/>
      <c r="F84" s="6" t="n"/>
      <c r="G84" s="12" t="n"/>
      <c r="H84" s="12" t="n"/>
      <c r="I84" s="12" t="n"/>
      <c r="J84" s="12" t="n"/>
    </row>
    <row r="85">
      <c r="A85" s="6" t="n"/>
      <c r="B85" s="6" t="n"/>
      <c r="C85" s="6" t="n"/>
      <c r="D85" s="6" t="n"/>
      <c r="E85" s="6" t="n"/>
      <c r="F85" s="6" t="n"/>
      <c r="G85" s="12" t="n"/>
      <c r="H85" s="12" t="n"/>
      <c r="I85" s="12" t="n"/>
      <c r="J85" s="12" t="n"/>
    </row>
    <row r="86">
      <c r="A86" s="6" t="n"/>
      <c r="B86" s="6" t="n"/>
      <c r="C86" s="6" t="n"/>
      <c r="D86" s="6" t="n"/>
      <c r="E86" s="6" t="n"/>
      <c r="F86" s="6" t="n"/>
      <c r="G86" s="12" t="n"/>
      <c r="H86" s="12" t="n"/>
      <c r="I86" s="12" t="n"/>
      <c r="J86" s="12" t="n"/>
    </row>
    <row r="87">
      <c r="A87" s="6" t="n"/>
      <c r="B87" s="6" t="n"/>
      <c r="C87" s="6" t="n"/>
      <c r="D87" s="6" t="n"/>
      <c r="E87" s="6" t="n"/>
      <c r="F87" s="6" t="n"/>
      <c r="G87" s="12" t="n"/>
      <c r="H87" s="12" t="n"/>
      <c r="I87" s="12" t="n"/>
      <c r="J87" s="12" t="n"/>
    </row>
    <row r="88">
      <c r="A88" s="6" t="n"/>
      <c r="B88" s="6" t="n"/>
      <c r="C88" s="6" t="n"/>
      <c r="D88" s="6" t="n"/>
      <c r="E88" s="6" t="n"/>
      <c r="F88" s="6" t="n"/>
      <c r="G88" s="12" t="n"/>
      <c r="H88" s="12" t="n"/>
      <c r="I88" s="12" t="n"/>
      <c r="J88" s="12" t="n"/>
    </row>
    <row r="89">
      <c r="A89" s="6" t="n"/>
      <c r="B89" s="6" t="n"/>
      <c r="C89" s="6" t="n"/>
      <c r="D89" s="6" t="n"/>
      <c r="E89" s="6" t="n"/>
      <c r="F89" s="6" t="n"/>
      <c r="G89" s="12" t="n"/>
      <c r="H89" s="12" t="n"/>
      <c r="I89" s="12" t="n"/>
      <c r="J89" s="12" t="n"/>
    </row>
    <row r="90">
      <c r="A90" s="6" t="n"/>
      <c r="B90" s="6" t="n"/>
      <c r="C90" s="6" t="n"/>
      <c r="D90" s="6" t="n"/>
      <c r="E90" s="6" t="n"/>
      <c r="F90" s="6" t="n"/>
      <c r="G90" s="12" t="n"/>
      <c r="H90" s="12" t="n"/>
      <c r="I90" s="12" t="n"/>
      <c r="J90" s="12" t="n"/>
    </row>
    <row r="91">
      <c r="A91" s="6" t="n"/>
      <c r="B91" s="6" t="n"/>
      <c r="C91" s="6" t="n"/>
      <c r="D91" s="6" t="n"/>
      <c r="E91" s="6" t="n"/>
      <c r="F91" s="6" t="n"/>
      <c r="G91" s="12" t="n"/>
      <c r="H91" s="12" t="n"/>
      <c r="I91" s="12" t="n"/>
      <c r="J91" s="12" t="n"/>
    </row>
    <row r="92">
      <c r="A92" s="6" t="n"/>
      <c r="B92" s="6" t="n"/>
      <c r="C92" s="6" t="n"/>
      <c r="D92" s="6" t="n"/>
      <c r="E92" s="6" t="n"/>
      <c r="F92" s="6" t="n"/>
      <c r="G92" s="12" t="n"/>
      <c r="H92" s="12" t="n"/>
      <c r="I92" s="12" t="n"/>
      <c r="J92" s="12" t="n"/>
    </row>
    <row r="93">
      <c r="A93" s="6" t="n"/>
      <c r="B93" s="6" t="n"/>
      <c r="C93" s="6" t="n"/>
      <c r="D93" s="6" t="n"/>
      <c r="E93" s="6" t="n"/>
      <c r="F93" s="6" t="n"/>
      <c r="G93" s="12" t="n"/>
      <c r="H93" s="12" t="n"/>
      <c r="I93" s="12" t="n"/>
      <c r="J93" s="12" t="n"/>
    </row>
    <row r="94">
      <c r="A94" s="6" t="n"/>
      <c r="B94" s="6" t="n"/>
      <c r="C94" s="6" t="n"/>
      <c r="D94" s="6" t="n"/>
      <c r="E94" s="6" t="n"/>
      <c r="F94" s="6" t="n"/>
      <c r="G94" s="12" t="n"/>
      <c r="H94" s="12" t="n"/>
      <c r="I94" s="12" t="n"/>
      <c r="J94" s="12" t="n"/>
    </row>
    <row r="95">
      <c r="A95" s="6" t="n"/>
      <c r="B95" s="6" t="n"/>
      <c r="C95" s="6" t="n"/>
      <c r="D95" s="6" t="n"/>
      <c r="E95" s="6" t="n"/>
      <c r="F95" s="6" t="n"/>
      <c r="G95" s="12" t="n"/>
      <c r="H95" s="12" t="n"/>
      <c r="I95" s="12" t="n"/>
      <c r="J95" s="12" t="n"/>
    </row>
    <row r="96">
      <c r="A96" s="6" t="n"/>
      <c r="B96" s="6" t="n"/>
      <c r="C96" s="6" t="n"/>
      <c r="D96" s="6" t="n"/>
      <c r="E96" s="6" t="n"/>
      <c r="F96" s="6" t="n"/>
      <c r="G96" s="12" t="n"/>
      <c r="H96" s="12" t="n"/>
      <c r="I96" s="12" t="n"/>
      <c r="J96" s="12" t="n"/>
    </row>
    <row r="97">
      <c r="A97" s="6" t="n"/>
      <c r="B97" s="6" t="n"/>
      <c r="C97" s="6" t="n"/>
      <c r="D97" s="6" t="n"/>
      <c r="E97" s="6" t="n"/>
      <c r="F97" s="6" t="n"/>
      <c r="G97" s="12" t="n"/>
      <c r="H97" s="12" t="n"/>
      <c r="I97" s="12" t="n"/>
      <c r="J97" s="12" t="n"/>
    </row>
    <row r="98">
      <c r="A98" s="6" t="n"/>
      <c r="B98" s="6" t="n"/>
      <c r="C98" s="6" t="n"/>
      <c r="D98" s="6" t="n"/>
      <c r="E98" s="6" t="n"/>
      <c r="F98" s="6" t="n"/>
      <c r="G98" s="12" t="n"/>
      <c r="H98" s="12" t="n"/>
      <c r="I98" s="12" t="n"/>
      <c r="J98" s="12" t="n"/>
    </row>
    <row r="99">
      <c r="A99" s="6" t="n"/>
      <c r="B99" s="6" t="n"/>
      <c r="C99" s="6" t="n"/>
      <c r="D99" s="6" t="n"/>
      <c r="E99" s="6" t="n"/>
      <c r="F99" s="6" t="n"/>
      <c r="G99" s="12" t="n"/>
      <c r="H99" s="12" t="n"/>
      <c r="I99" s="12" t="n"/>
      <c r="J99" s="12" t="n"/>
    </row>
    <row r="100">
      <c r="A100" s="6" t="n"/>
      <c r="B100" s="6" t="n"/>
      <c r="C100" s="6" t="n"/>
      <c r="D100" s="6" t="n"/>
      <c r="E100" s="6" t="n"/>
      <c r="F100" s="6" t="n"/>
      <c r="G100" s="12" t="n"/>
      <c r="H100" s="12" t="n"/>
      <c r="I100" s="12" t="n"/>
      <c r="J100" s="12" t="n"/>
    </row>
    <row r="101">
      <c r="A101" s="6" t="n"/>
      <c r="B101" s="6" t="n"/>
      <c r="C101" s="6" t="n"/>
      <c r="D101" s="6" t="n"/>
      <c r="E101" s="6" t="n"/>
      <c r="F101" s="6" t="n"/>
      <c r="G101" s="12" t="n"/>
      <c r="H101" s="12" t="n"/>
      <c r="I101" s="12" t="n"/>
      <c r="J101" s="12" t="n"/>
    </row>
    <row r="102">
      <c r="A102" s="6" t="n"/>
      <c r="B102" s="6" t="n"/>
      <c r="C102" s="6" t="n"/>
      <c r="D102" s="6" t="n"/>
      <c r="E102" s="6" t="n"/>
      <c r="F102" s="6" t="n"/>
      <c r="G102" s="12" t="n"/>
      <c r="H102" s="12" t="n"/>
      <c r="I102" s="12" t="n"/>
      <c r="J102" s="12" t="n"/>
    </row>
    <row r="103">
      <c r="A103" s="6" t="n"/>
      <c r="B103" s="6" t="n"/>
      <c r="C103" s="6" t="n"/>
      <c r="D103" s="6" t="n"/>
      <c r="E103" s="6" t="n"/>
      <c r="F103" s="6" t="n"/>
      <c r="G103" s="12" t="n"/>
      <c r="H103" s="12" t="n"/>
      <c r="I103" s="12" t="n"/>
      <c r="J103" s="12" t="n"/>
    </row>
    <row r="104">
      <c r="A104" s="6" t="n"/>
      <c r="B104" s="6" t="n"/>
      <c r="C104" s="6" t="n"/>
      <c r="D104" s="6" t="n"/>
      <c r="E104" s="6" t="n"/>
      <c r="F104" s="6" t="n"/>
      <c r="G104" s="12" t="n"/>
      <c r="H104" s="12" t="n"/>
      <c r="I104" s="12" t="n"/>
      <c r="J104" s="12" t="n"/>
    </row>
    <row r="105">
      <c r="A105" s="6" t="n"/>
      <c r="B105" s="6" t="n"/>
      <c r="C105" s="6" t="n"/>
      <c r="D105" s="6" t="n"/>
      <c r="E105" s="6" t="n"/>
      <c r="F105" s="6" t="n"/>
      <c r="G105" s="12" t="n"/>
      <c r="H105" s="12" t="n"/>
      <c r="I105" s="12" t="n"/>
      <c r="J105" s="12" t="n"/>
    </row>
    <row r="106">
      <c r="A106" s="6" t="n"/>
      <c r="B106" s="6" t="n"/>
      <c r="C106" s="6" t="n"/>
      <c r="D106" s="6" t="n"/>
      <c r="E106" s="6" t="n"/>
      <c r="F106" s="6" t="n"/>
      <c r="G106" s="12" t="n"/>
      <c r="H106" s="12" t="n"/>
      <c r="I106" s="12" t="n"/>
      <c r="J106" s="12" t="n"/>
    </row>
    <row r="107">
      <c r="A107" s="6" t="n"/>
      <c r="B107" s="6" t="n"/>
      <c r="C107" s="6" t="n"/>
      <c r="D107" s="6" t="n"/>
      <c r="E107" s="6" t="n"/>
      <c r="F107" s="6" t="n"/>
      <c r="G107" s="12" t="n"/>
      <c r="H107" s="12" t="n"/>
      <c r="I107" s="12" t="n"/>
      <c r="J107" s="12" t="n"/>
    </row>
    <row r="108">
      <c r="A108" s="6" t="n"/>
      <c r="B108" s="6" t="n"/>
      <c r="C108" s="6" t="n"/>
      <c r="D108" s="6" t="n"/>
      <c r="E108" s="6" t="n"/>
      <c r="F108" s="6" t="n"/>
      <c r="G108" s="12" t="n"/>
      <c r="H108" s="12" t="n"/>
      <c r="I108" s="12" t="n"/>
      <c r="J108" s="12" t="n"/>
    </row>
    <row r="109">
      <c r="A109" s="6" t="n"/>
      <c r="B109" s="6" t="n"/>
      <c r="C109" s="6" t="n"/>
      <c r="D109" s="6" t="n"/>
      <c r="E109" s="6" t="n"/>
      <c r="F109" s="6" t="n"/>
      <c r="G109" s="12" t="n"/>
      <c r="H109" s="12" t="n"/>
      <c r="I109" s="12" t="n"/>
      <c r="J109" s="12" t="n"/>
    </row>
    <row r="110">
      <c r="A110" s="6" t="n"/>
      <c r="B110" s="6" t="n"/>
      <c r="C110" s="6" t="n"/>
      <c r="D110" s="6" t="n"/>
      <c r="E110" s="6" t="n"/>
      <c r="F110" s="6" t="n"/>
      <c r="G110" s="12" t="n"/>
      <c r="H110" s="12" t="n"/>
      <c r="I110" s="12" t="n"/>
      <c r="J110" s="12" t="n"/>
    </row>
    <row r="111">
      <c r="A111" s="6" t="n"/>
      <c r="B111" s="6" t="n"/>
      <c r="C111" s="6" t="n"/>
      <c r="D111" s="6" t="n"/>
      <c r="E111" s="6" t="n"/>
      <c r="F111" s="6" t="n"/>
      <c r="G111" s="12" t="n"/>
      <c r="H111" s="12" t="n"/>
      <c r="I111" s="12" t="n"/>
      <c r="J111" s="12" t="n"/>
    </row>
    <row r="112">
      <c r="A112" s="6" t="n"/>
      <c r="B112" s="6" t="n"/>
      <c r="C112" s="6" t="n"/>
      <c r="D112" s="6" t="n"/>
      <c r="E112" s="6" t="n"/>
      <c r="F112" s="6" t="n"/>
      <c r="G112" s="12" t="n"/>
      <c r="H112" s="12" t="n"/>
      <c r="I112" s="12" t="n"/>
      <c r="J112" s="12" t="n"/>
    </row>
    <row r="113">
      <c r="A113" s="6" t="n"/>
      <c r="B113" s="6" t="n"/>
      <c r="C113" s="6" t="n"/>
      <c r="D113" s="6" t="n"/>
      <c r="E113" s="6" t="n"/>
      <c r="F113" s="6" t="n"/>
      <c r="G113" s="12" t="n"/>
      <c r="H113" s="12" t="n"/>
      <c r="I113" s="12" t="n"/>
      <c r="J113" s="12" t="n"/>
    </row>
    <row r="114">
      <c r="A114" s="6" t="n"/>
      <c r="B114" s="6" t="n"/>
      <c r="C114" s="6" t="n"/>
      <c r="D114" s="6" t="n"/>
      <c r="E114" s="6" t="n"/>
      <c r="F114" s="6" t="n"/>
      <c r="G114" s="12" t="n"/>
      <c r="H114" s="12" t="n"/>
      <c r="I114" s="12" t="n"/>
      <c r="J114" s="12" t="n"/>
    </row>
    <row r="115">
      <c r="A115" s="6" t="n"/>
      <c r="B115" s="6" t="n"/>
      <c r="C115" s="6" t="n"/>
      <c r="D115" s="6" t="n"/>
      <c r="E115" s="6" t="n"/>
      <c r="F115" s="6" t="n"/>
      <c r="G115" s="12" t="n"/>
      <c r="H115" s="12" t="n"/>
      <c r="I115" s="12" t="n"/>
      <c r="J115" s="12" t="n"/>
    </row>
    <row r="116">
      <c r="A116" s="6" t="n"/>
      <c r="B116" s="6" t="n"/>
      <c r="C116" s="6" t="n"/>
      <c r="D116" s="6" t="n"/>
      <c r="E116" s="6" t="n"/>
      <c r="F116" s="6" t="n"/>
      <c r="G116" s="12" t="n"/>
      <c r="H116" s="12" t="n"/>
      <c r="I116" s="12" t="n"/>
      <c r="J116" s="12" t="n"/>
    </row>
    <row r="117">
      <c r="A117" s="6" t="n"/>
      <c r="B117" s="6" t="n"/>
      <c r="C117" s="6" t="n"/>
      <c r="D117" s="6" t="n"/>
      <c r="E117" s="6" t="n"/>
      <c r="F117" s="6" t="n"/>
      <c r="G117" s="12" t="n"/>
      <c r="H117" s="12" t="n"/>
      <c r="I117" s="12" t="n"/>
      <c r="J117" s="12" t="n"/>
    </row>
    <row r="118">
      <c r="A118" s="6" t="n"/>
      <c r="B118" s="6" t="n"/>
      <c r="C118" s="6" t="n"/>
      <c r="D118" s="6" t="n"/>
      <c r="E118" s="6" t="n"/>
      <c r="F118" s="6" t="n"/>
      <c r="G118" s="12" t="n"/>
      <c r="H118" s="12" t="n"/>
      <c r="I118" s="12" t="n"/>
      <c r="J118" s="12" t="n"/>
    </row>
    <row r="119">
      <c r="A119" s="6" t="n"/>
      <c r="B119" s="6" t="n"/>
      <c r="C119" s="6" t="n"/>
      <c r="D119" s="6" t="n"/>
      <c r="E119" s="6" t="n"/>
      <c r="F119" s="6" t="n"/>
      <c r="G119" s="12" t="n"/>
      <c r="H119" s="12" t="n"/>
      <c r="I119" s="12" t="n"/>
      <c r="J119" s="12" t="n"/>
    </row>
    <row r="120">
      <c r="A120" s="6" t="n"/>
      <c r="B120" s="6" t="n"/>
      <c r="C120" s="6" t="n"/>
      <c r="D120" s="6" t="n"/>
      <c r="E120" s="6" t="n"/>
      <c r="F120" s="6" t="n"/>
      <c r="G120" s="12" t="n"/>
      <c r="H120" s="12" t="n"/>
      <c r="I120" s="12" t="n"/>
      <c r="J120" s="12" t="n"/>
    </row>
    <row r="121">
      <c r="A121" s="6" t="n"/>
      <c r="B121" s="6" t="n"/>
      <c r="C121" s="6" t="n"/>
      <c r="D121" s="6" t="n"/>
      <c r="E121" s="6" t="n"/>
      <c r="F121" s="6" t="n"/>
      <c r="G121" s="12" t="n"/>
      <c r="H121" s="12" t="n"/>
      <c r="I121" s="12" t="n"/>
      <c r="J121" s="12" t="n"/>
    </row>
    <row r="122">
      <c r="A122" s="6" t="n"/>
      <c r="B122" s="6" t="n"/>
      <c r="C122" s="6" t="n"/>
      <c r="D122" s="6" t="n"/>
      <c r="E122" s="6" t="n"/>
      <c r="F122" s="6" t="n"/>
      <c r="G122" s="12" t="n"/>
      <c r="H122" s="12" t="n"/>
      <c r="I122" s="12" t="n"/>
      <c r="J122" s="12" t="n"/>
    </row>
    <row r="123">
      <c r="A123" s="6" t="n"/>
      <c r="B123" s="6" t="n"/>
      <c r="C123" s="6" t="n"/>
      <c r="D123" s="6" t="n"/>
      <c r="E123" s="6" t="n"/>
      <c r="F123" s="6" t="n"/>
      <c r="G123" s="12" t="n"/>
      <c r="H123" s="12" t="n"/>
      <c r="I123" s="12" t="n"/>
      <c r="J123" s="12" t="n"/>
    </row>
    <row r="124">
      <c r="A124" s="6" t="n"/>
      <c r="B124" s="6" t="n"/>
      <c r="C124" s="6" t="n"/>
      <c r="D124" s="6" t="n"/>
      <c r="E124" s="6" t="n"/>
      <c r="F124" s="6" t="n"/>
      <c r="G124" s="12" t="n"/>
      <c r="H124" s="12" t="n"/>
      <c r="I124" s="12" t="n"/>
      <c r="J124" s="12" t="n"/>
    </row>
    <row r="125">
      <c r="A125" s="6" t="n"/>
      <c r="B125" s="6" t="n"/>
      <c r="C125" s="6" t="n"/>
      <c r="D125" s="6" t="n"/>
      <c r="E125" s="6" t="n"/>
      <c r="F125" s="6" t="n"/>
      <c r="G125" s="12" t="n"/>
      <c r="H125" s="12" t="n"/>
      <c r="I125" s="12" t="n"/>
      <c r="J125" s="12" t="n"/>
    </row>
    <row r="126">
      <c r="A126" s="6" t="n"/>
      <c r="B126" s="6" t="n"/>
      <c r="C126" s="6" t="n"/>
      <c r="D126" s="6" t="n"/>
      <c r="E126" s="6" t="n"/>
      <c r="F126" s="6" t="n"/>
      <c r="G126" s="12" t="n"/>
      <c r="H126" s="12" t="n"/>
      <c r="I126" s="12" t="n"/>
      <c r="J126" s="12" t="n"/>
    </row>
    <row r="127">
      <c r="A127" s="6" t="n"/>
      <c r="B127" s="6" t="n"/>
      <c r="C127" s="6" t="n"/>
      <c r="D127" s="6" t="n"/>
      <c r="E127" s="6" t="n"/>
      <c r="F127" s="6" t="n"/>
      <c r="G127" s="12" t="n"/>
      <c r="H127" s="12" t="n"/>
      <c r="I127" s="12" t="n"/>
      <c r="J127" s="12" t="n"/>
    </row>
    <row r="128">
      <c r="A128" s="6" t="n"/>
      <c r="B128" s="6" t="n"/>
      <c r="C128" s="6" t="n"/>
      <c r="D128" s="6" t="n"/>
      <c r="E128" s="6" t="n"/>
      <c r="F128" s="6" t="n"/>
      <c r="G128" s="12" t="n"/>
      <c r="H128" s="12" t="n"/>
      <c r="I128" s="12" t="n"/>
      <c r="J128" s="12" t="n"/>
    </row>
    <row r="129">
      <c r="A129" s="6" t="n"/>
      <c r="B129" s="6" t="n"/>
      <c r="C129" s="6" t="n"/>
      <c r="D129" s="6" t="n"/>
      <c r="E129" s="6" t="n"/>
      <c r="F129" s="6" t="n"/>
      <c r="G129" s="12" t="n"/>
      <c r="H129" s="12" t="n"/>
      <c r="I129" s="12" t="n"/>
      <c r="J129" s="12" t="n"/>
    </row>
    <row r="130">
      <c r="A130" s="6" t="n"/>
      <c r="B130" s="6" t="n"/>
      <c r="C130" s="6" t="n"/>
      <c r="D130" s="6" t="n"/>
      <c r="E130" s="6" t="n"/>
      <c r="F130" s="6" t="n"/>
      <c r="G130" s="12" t="n"/>
      <c r="H130" s="12" t="n"/>
      <c r="I130" s="12" t="n"/>
      <c r="J130" s="12" t="n"/>
    </row>
    <row r="131">
      <c r="A131" s="6" t="n"/>
      <c r="B131" s="6" t="n"/>
      <c r="C131" s="6" t="n"/>
      <c r="D131" s="6" t="n"/>
      <c r="E131" s="6" t="n"/>
      <c r="F131" s="6" t="n"/>
      <c r="G131" s="12" t="n"/>
      <c r="H131" s="12" t="n"/>
      <c r="I131" s="12" t="n"/>
      <c r="J131" s="12" t="n"/>
    </row>
    <row r="132">
      <c r="A132" s="6" t="n"/>
      <c r="B132" s="6" t="n"/>
      <c r="C132" s="6" t="n"/>
      <c r="D132" s="6" t="n"/>
      <c r="E132" s="6" t="n"/>
      <c r="F132" s="6" t="n"/>
      <c r="G132" s="12" t="n"/>
      <c r="H132" s="12" t="n"/>
      <c r="I132" s="12" t="n"/>
      <c r="J132" s="12" t="n"/>
    </row>
    <row r="133">
      <c r="A133" s="6" t="n"/>
      <c r="B133" s="6" t="n"/>
      <c r="C133" s="6" t="n"/>
      <c r="D133" s="6" t="n"/>
      <c r="E133" s="6" t="n"/>
      <c r="F133" s="6" t="n"/>
      <c r="G133" s="12" t="n"/>
      <c r="H133" s="12" t="n"/>
      <c r="I133" s="12" t="n"/>
      <c r="J133" s="12" t="n"/>
    </row>
    <row r="134">
      <c r="A134" s="6" t="n"/>
      <c r="B134" s="6" t="n"/>
      <c r="C134" s="6" t="n"/>
      <c r="D134" s="6" t="n"/>
      <c r="E134" s="6" t="n"/>
      <c r="F134" s="6" t="n"/>
      <c r="G134" s="12" t="n"/>
      <c r="H134" s="12" t="n"/>
      <c r="I134" s="12" t="n"/>
      <c r="J134" s="12" t="n"/>
    </row>
    <row r="135">
      <c r="A135" s="6" t="n"/>
      <c r="B135" s="6" t="n"/>
      <c r="C135" s="6" t="n"/>
      <c r="D135" s="6" t="n"/>
      <c r="E135" s="6" t="n"/>
      <c r="F135" s="6" t="n"/>
      <c r="G135" s="12" t="n"/>
      <c r="H135" s="12" t="n"/>
      <c r="I135" s="12" t="n"/>
      <c r="J135" s="12" t="n"/>
    </row>
    <row r="136">
      <c r="A136" s="6" t="n"/>
      <c r="B136" s="6" t="n"/>
      <c r="C136" s="6" t="n"/>
      <c r="D136" s="6" t="n"/>
      <c r="E136" s="6" t="n"/>
      <c r="F136" s="6" t="n"/>
      <c r="G136" s="12" t="n"/>
      <c r="H136" s="12" t="n"/>
      <c r="I136" s="12" t="n"/>
      <c r="J136" s="12" t="n"/>
    </row>
    <row r="137">
      <c r="A137" s="6" t="n"/>
      <c r="B137" s="6" t="n"/>
      <c r="C137" s="6" t="n"/>
      <c r="D137" s="6" t="n"/>
      <c r="E137" s="6" t="n"/>
      <c r="F137" s="6" t="n"/>
      <c r="G137" s="12" t="n"/>
      <c r="H137" s="12" t="n"/>
      <c r="I137" s="12" t="n"/>
      <c r="J137" s="12" t="n"/>
    </row>
    <row r="138">
      <c r="A138" s="6" t="n"/>
      <c r="B138" s="6" t="n"/>
      <c r="C138" s="6" t="n"/>
      <c r="D138" s="6" t="n"/>
      <c r="E138" s="6" t="n"/>
      <c r="F138" s="6" t="n"/>
      <c r="G138" s="12" t="n"/>
      <c r="H138" s="12" t="n"/>
      <c r="I138" s="12" t="n"/>
      <c r="J138" s="12" t="n"/>
    </row>
    <row r="139">
      <c r="A139" s="6" t="n"/>
      <c r="B139" s="6" t="n"/>
      <c r="C139" s="6" t="n"/>
      <c r="D139" s="6" t="n"/>
      <c r="E139" s="6" t="n"/>
      <c r="F139" s="6" t="n"/>
      <c r="G139" s="12" t="n"/>
      <c r="H139" s="12" t="n"/>
      <c r="I139" s="12" t="n"/>
      <c r="J139" s="12" t="n"/>
    </row>
    <row r="140">
      <c r="A140" s="6" t="n"/>
      <c r="B140" s="6" t="n"/>
      <c r="C140" s="6" t="n"/>
      <c r="D140" s="6" t="n"/>
      <c r="E140" s="6" t="n"/>
      <c r="F140" s="6" t="n"/>
      <c r="G140" s="12" t="n"/>
      <c r="H140" s="12" t="n"/>
      <c r="I140" s="12" t="n"/>
      <c r="J140" s="12" t="n"/>
    </row>
    <row r="141">
      <c r="A141" s="6" t="n"/>
      <c r="B141" s="6" t="n"/>
      <c r="C141" s="6" t="n"/>
      <c r="D141" s="6" t="n"/>
      <c r="E141" s="6" t="n"/>
      <c r="F141" s="6" t="n"/>
      <c r="G141" s="12" t="n"/>
      <c r="H141" s="12" t="n"/>
      <c r="I141" s="12" t="n"/>
      <c r="J141" s="12" t="n"/>
    </row>
    <row r="142">
      <c r="A142" s="6" t="n"/>
      <c r="B142" s="6" t="n"/>
      <c r="C142" s="6" t="n"/>
      <c r="D142" s="6" t="n"/>
      <c r="E142" s="6" t="n"/>
      <c r="F142" s="6" t="n"/>
      <c r="G142" s="12" t="n"/>
      <c r="H142" s="12" t="n"/>
      <c r="I142" s="12" t="n"/>
      <c r="J142" s="12" t="n"/>
    </row>
    <row r="143">
      <c r="A143" s="6" t="n"/>
      <c r="B143" s="6" t="n"/>
      <c r="C143" s="6" t="n"/>
      <c r="D143" s="6" t="n"/>
      <c r="E143" s="6" t="n"/>
      <c r="F143" s="6" t="n"/>
      <c r="G143" s="12" t="n"/>
      <c r="H143" s="12" t="n"/>
      <c r="I143" s="12" t="n"/>
      <c r="J143" s="12" t="n"/>
    </row>
    <row r="144">
      <c r="A144" s="6" t="n"/>
      <c r="B144" s="6" t="n"/>
      <c r="C144" s="6" t="n"/>
      <c r="D144" s="6" t="n"/>
      <c r="E144" s="6" t="n"/>
      <c r="F144" s="6" t="n"/>
      <c r="G144" s="12" t="n"/>
      <c r="H144" s="12" t="n"/>
      <c r="I144" s="12" t="n"/>
      <c r="J144" s="12" t="n"/>
    </row>
    <row r="145">
      <c r="A145" s="6" t="n"/>
      <c r="B145" s="6" t="n"/>
      <c r="C145" s="6" t="n"/>
      <c r="D145" s="6" t="n"/>
      <c r="E145" s="6" t="n"/>
      <c r="F145" s="6" t="n"/>
      <c r="G145" s="12" t="n"/>
      <c r="H145" s="12" t="n"/>
      <c r="I145" s="12" t="n"/>
      <c r="J145" s="12" t="n"/>
    </row>
    <row r="146">
      <c r="A146" s="6" t="n"/>
      <c r="B146" s="6" t="n"/>
      <c r="C146" s="6" t="n"/>
      <c r="D146" s="6" t="n"/>
      <c r="E146" s="6" t="n"/>
      <c r="F146" s="6" t="n"/>
      <c r="G146" s="12" t="n"/>
      <c r="H146" s="12" t="n"/>
      <c r="I146" s="12" t="n"/>
      <c r="J146" s="12" t="n"/>
    </row>
    <row r="147">
      <c r="A147" s="6" t="n"/>
      <c r="B147" s="6" t="n"/>
      <c r="C147" s="6" t="n"/>
      <c r="D147" s="6" t="n"/>
      <c r="E147" s="6" t="n"/>
      <c r="F147" s="6" t="n"/>
      <c r="G147" s="12" t="n"/>
      <c r="H147" s="12" t="n"/>
      <c r="I147" s="12" t="n"/>
      <c r="J147" s="12" t="n"/>
    </row>
    <row r="148">
      <c r="A148" s="6" t="n"/>
      <c r="B148" s="6" t="n"/>
      <c r="C148" s="6" t="n"/>
      <c r="D148" s="6" t="n"/>
      <c r="E148" s="6" t="n"/>
      <c r="F148" s="6" t="n"/>
      <c r="G148" s="12" t="n"/>
      <c r="H148" s="12" t="n"/>
      <c r="I148" s="12" t="n"/>
      <c r="J148" s="12" t="n"/>
    </row>
    <row r="149">
      <c r="A149" s="6" t="n"/>
      <c r="B149" s="6" t="n"/>
      <c r="C149" s="6" t="n"/>
      <c r="D149" s="6" t="n"/>
      <c r="E149" s="6" t="n"/>
      <c r="F149" s="6" t="n"/>
      <c r="G149" s="12" t="n"/>
      <c r="H149" s="12" t="n"/>
      <c r="I149" s="12" t="n"/>
      <c r="J149" s="12" t="n"/>
    </row>
    <row r="150">
      <c r="A150" s="6" t="n"/>
      <c r="B150" s="6" t="n"/>
      <c r="C150" s="6" t="n"/>
      <c r="D150" s="6" t="n"/>
      <c r="E150" s="6" t="n"/>
      <c r="F150" s="6" t="n"/>
      <c r="G150" s="12" t="n"/>
      <c r="H150" s="12" t="n"/>
      <c r="I150" s="12" t="n"/>
      <c r="J150" s="12" t="n"/>
    </row>
    <row r="151">
      <c r="A151" s="6" t="n"/>
      <c r="B151" s="6" t="n"/>
      <c r="C151" s="6" t="n"/>
      <c r="D151" s="6" t="n"/>
      <c r="E151" s="6" t="n"/>
      <c r="F151" s="6" t="n"/>
      <c r="G151" s="12" t="n"/>
      <c r="H151" s="12" t="n"/>
      <c r="I151" s="12" t="n"/>
      <c r="J151" s="12" t="n"/>
    </row>
    <row r="152">
      <c r="A152" s="6" t="n"/>
      <c r="B152" s="6" t="n"/>
      <c r="C152" s="6" t="n"/>
      <c r="D152" s="6" t="n"/>
      <c r="E152" s="6" t="n"/>
      <c r="F152" s="6" t="n"/>
      <c r="G152" s="12" t="n"/>
      <c r="H152" s="12" t="n"/>
      <c r="I152" s="12" t="n"/>
      <c r="J152" s="12" t="n"/>
    </row>
    <row r="153">
      <c r="A153" s="6" t="n"/>
      <c r="B153" s="6" t="n"/>
      <c r="C153" s="6" t="n"/>
      <c r="D153" s="6" t="n"/>
      <c r="E153" s="6" t="n"/>
      <c r="F153" s="6" t="n"/>
      <c r="G153" s="12" t="n"/>
      <c r="H153" s="12" t="n"/>
      <c r="I153" s="12" t="n"/>
      <c r="J153" s="12" t="n"/>
    </row>
    <row r="154">
      <c r="A154" s="6" t="n"/>
      <c r="B154" s="6" t="n"/>
      <c r="C154" s="6" t="n"/>
      <c r="D154" s="6" t="n"/>
      <c r="E154" s="6" t="n"/>
      <c r="F154" s="6" t="n"/>
      <c r="G154" s="12" t="n"/>
      <c r="H154" s="12" t="n"/>
      <c r="I154" s="12" t="n"/>
      <c r="J154" s="12" t="n"/>
    </row>
    <row r="155">
      <c r="A155" s="6" t="n"/>
      <c r="B155" s="6" t="n"/>
      <c r="C155" s="6" t="n"/>
      <c r="D155" s="6" t="n"/>
      <c r="E155" s="6" t="n"/>
      <c r="F155" s="6" t="n"/>
      <c r="G155" s="12" t="n"/>
      <c r="H155" s="12" t="n"/>
      <c r="I155" s="12" t="n"/>
      <c r="J155" s="12" t="n"/>
    </row>
    <row r="156">
      <c r="A156" s="6" t="n"/>
      <c r="B156" s="6" t="n"/>
      <c r="C156" s="6" t="n"/>
      <c r="D156" s="6" t="n"/>
      <c r="E156" s="6" t="n"/>
      <c r="F156" s="6" t="n"/>
      <c r="G156" s="12" t="n"/>
      <c r="H156" s="12" t="n"/>
      <c r="I156" s="12" t="n"/>
      <c r="J156" s="12" t="n"/>
    </row>
    <row r="157">
      <c r="A157" s="6" t="n"/>
      <c r="B157" s="6" t="n"/>
      <c r="C157" s="6" t="n"/>
      <c r="D157" s="6" t="n"/>
      <c r="E157" s="6" t="n"/>
      <c r="F157" s="6" t="n"/>
      <c r="G157" s="12" t="n"/>
      <c r="H157" s="12" t="n"/>
      <c r="I157" s="12" t="n"/>
      <c r="J157" s="12" t="n"/>
    </row>
    <row r="158">
      <c r="A158" s="6" t="n"/>
      <c r="B158" s="6" t="n"/>
      <c r="C158" s="6" t="n"/>
      <c r="D158" s="6" t="n"/>
      <c r="E158" s="6" t="n"/>
      <c r="F158" s="6" t="n"/>
      <c r="G158" s="12" t="n"/>
      <c r="H158" s="12" t="n"/>
      <c r="I158" s="12" t="n"/>
      <c r="J158" s="12" t="n"/>
    </row>
    <row r="159">
      <c r="A159" s="6" t="n"/>
      <c r="B159" s="6" t="n"/>
      <c r="C159" s="6" t="n"/>
      <c r="D159" s="6" t="n"/>
      <c r="E159" s="6" t="n"/>
      <c r="F159" s="6" t="n"/>
      <c r="G159" s="12" t="n"/>
      <c r="H159" s="12" t="n"/>
      <c r="I159" s="12" t="n"/>
      <c r="J159" s="12" t="n"/>
    </row>
    <row r="160">
      <c r="A160" s="6" t="n"/>
      <c r="B160" s="6" t="n"/>
      <c r="C160" s="6" t="n"/>
      <c r="D160" s="6" t="n"/>
      <c r="E160" s="6" t="n"/>
      <c r="F160" s="6" t="n"/>
      <c r="G160" s="12" t="n"/>
      <c r="H160" s="12" t="n"/>
      <c r="I160" s="12" t="n"/>
      <c r="J160" s="12" t="n"/>
    </row>
    <row r="161">
      <c r="A161" s="6" t="n"/>
      <c r="B161" s="6" t="n"/>
      <c r="C161" s="6" t="n"/>
      <c r="D161" s="6" t="n"/>
      <c r="E161" s="6" t="n"/>
      <c r="F161" s="6" t="n"/>
      <c r="G161" s="12" t="n"/>
      <c r="H161" s="12" t="n"/>
      <c r="I161" s="12" t="n"/>
      <c r="J161" s="12" t="n"/>
    </row>
    <row r="162">
      <c r="A162" s="6" t="n"/>
      <c r="B162" s="6" t="n"/>
      <c r="C162" s="6" t="n"/>
      <c r="D162" s="6" t="n"/>
      <c r="E162" s="6" t="n"/>
      <c r="F162" s="6" t="n"/>
      <c r="G162" s="12" t="n"/>
      <c r="H162" s="12" t="n"/>
      <c r="I162" s="12" t="n"/>
      <c r="J162" s="12" t="n"/>
    </row>
    <row r="163">
      <c r="A163" s="6" t="n"/>
      <c r="B163" s="6" t="n"/>
      <c r="C163" s="6" t="n"/>
      <c r="D163" s="6" t="n"/>
      <c r="E163" s="6" t="n"/>
      <c r="F163" s="6" t="n"/>
      <c r="G163" s="12" t="n"/>
      <c r="H163" s="12" t="n"/>
      <c r="I163" s="12" t="n"/>
      <c r="J163" s="12" t="n"/>
    </row>
    <row r="164">
      <c r="A164" s="6" t="n"/>
      <c r="B164" s="6" t="n"/>
      <c r="C164" s="6" t="n"/>
      <c r="D164" s="6" t="n"/>
      <c r="E164" s="6" t="n"/>
      <c r="F164" s="6" t="n"/>
      <c r="G164" s="12" t="n"/>
      <c r="H164" s="12" t="n"/>
      <c r="I164" s="12" t="n"/>
      <c r="J164" s="12" t="n"/>
    </row>
    <row r="165">
      <c r="A165" s="6" t="n"/>
      <c r="B165" s="6" t="n"/>
      <c r="C165" s="6" t="n"/>
      <c r="D165" s="6" t="n"/>
      <c r="E165" s="6" t="n"/>
      <c r="F165" s="6" t="n"/>
      <c r="G165" s="12" t="n"/>
      <c r="H165" s="12" t="n"/>
      <c r="I165" s="12" t="n"/>
      <c r="J165" s="12" t="n"/>
    </row>
    <row r="166">
      <c r="A166" s="6" t="n"/>
      <c r="B166" s="6" t="n"/>
      <c r="C166" s="6" t="n"/>
      <c r="D166" s="6" t="n"/>
      <c r="E166" s="6" t="n"/>
      <c r="F166" s="6" t="n"/>
      <c r="G166" s="12" t="n"/>
      <c r="H166" s="12" t="n"/>
      <c r="I166" s="12" t="n"/>
      <c r="J166" s="12" t="n"/>
    </row>
    <row r="167">
      <c r="A167" s="6" t="n"/>
      <c r="B167" s="6" t="n"/>
      <c r="C167" s="6" t="n"/>
      <c r="D167" s="6" t="n"/>
      <c r="E167" s="6" t="n"/>
      <c r="F167" s="6" t="n"/>
      <c r="G167" s="12" t="n"/>
      <c r="H167" s="12" t="n"/>
      <c r="I167" s="12" t="n"/>
      <c r="J167" s="12" t="n"/>
    </row>
    <row r="168">
      <c r="A168" s="6" t="n"/>
      <c r="B168" s="6" t="n"/>
      <c r="C168" s="6" t="n"/>
      <c r="D168" s="6" t="n"/>
      <c r="E168" s="6" t="n"/>
      <c r="F168" s="6" t="n"/>
      <c r="G168" s="12" t="n"/>
      <c r="H168" s="12" t="n"/>
      <c r="I168" s="12" t="n"/>
      <c r="J168" s="12" t="n"/>
    </row>
    <row r="169">
      <c r="A169" s="6" t="n"/>
      <c r="B169" s="6" t="n"/>
      <c r="C169" s="6" t="n"/>
      <c r="D169" s="6" t="n"/>
      <c r="E169" s="6" t="n"/>
      <c r="F169" s="6" t="n"/>
      <c r="G169" s="12" t="n"/>
      <c r="H169" s="12" t="n"/>
      <c r="I169" s="12" t="n"/>
      <c r="J169" s="12" t="n"/>
    </row>
    <row r="170">
      <c r="A170" s="6" t="n"/>
      <c r="B170" s="6" t="n"/>
      <c r="C170" s="6" t="n"/>
      <c r="D170" s="6" t="n"/>
      <c r="E170" s="6" t="n"/>
      <c r="F170" s="6" t="n"/>
      <c r="G170" s="12" t="n"/>
      <c r="H170" s="12" t="n"/>
      <c r="I170" s="12" t="n"/>
      <c r="J170" s="12" t="n"/>
    </row>
    <row r="171">
      <c r="A171" s="6" t="n"/>
      <c r="B171" s="6" t="n"/>
      <c r="C171" s="6" t="n"/>
      <c r="D171" s="6" t="n"/>
      <c r="E171" s="6" t="n"/>
      <c r="F171" s="6" t="n"/>
      <c r="G171" s="12" t="n"/>
      <c r="H171" s="12" t="n"/>
      <c r="I171" s="12" t="n"/>
      <c r="J171" s="12" t="n"/>
    </row>
    <row r="172">
      <c r="A172" s="6" t="n"/>
      <c r="B172" s="6" t="n"/>
      <c r="C172" s="6" t="n"/>
      <c r="D172" s="6" t="n"/>
      <c r="E172" s="6" t="n"/>
      <c r="F172" s="6" t="n"/>
      <c r="G172" s="12" t="n"/>
      <c r="H172" s="12" t="n"/>
      <c r="I172" s="12" t="n"/>
      <c r="J172" s="12" t="n"/>
    </row>
    <row r="173">
      <c r="A173" s="6" t="n"/>
      <c r="B173" s="6" t="n"/>
      <c r="C173" s="6" t="n"/>
      <c r="D173" s="6" t="n"/>
      <c r="E173" s="6" t="n"/>
      <c r="F173" s="6" t="n"/>
      <c r="G173" s="12" t="n"/>
      <c r="H173" s="12" t="n"/>
      <c r="I173" s="12" t="n"/>
      <c r="J173" s="12" t="n"/>
    </row>
    <row r="174">
      <c r="A174" s="6" t="n"/>
      <c r="B174" s="6" t="n"/>
      <c r="C174" s="6" t="n"/>
      <c r="D174" s="6" t="n"/>
      <c r="E174" s="6" t="n"/>
      <c r="F174" s="6" t="n"/>
      <c r="G174" s="12" t="n"/>
      <c r="H174" s="12" t="n"/>
      <c r="I174" s="12" t="n"/>
      <c r="J174" s="12" t="n"/>
    </row>
    <row r="175">
      <c r="A175" s="6" t="n"/>
      <c r="B175" s="6" t="n"/>
      <c r="C175" s="6" t="n"/>
      <c r="D175" s="6" t="n"/>
      <c r="E175" s="6" t="n"/>
      <c r="F175" s="6" t="n"/>
      <c r="G175" s="12" t="n"/>
      <c r="H175" s="12" t="n"/>
      <c r="I175" s="12" t="n"/>
      <c r="J175" s="12" t="n"/>
    </row>
    <row r="176">
      <c r="A176" s="6" t="n"/>
      <c r="B176" s="6" t="n"/>
      <c r="C176" s="6" t="n"/>
      <c r="D176" s="6" t="n"/>
      <c r="E176" s="6" t="n"/>
      <c r="F176" s="6" t="n"/>
      <c r="G176" s="12" t="n"/>
      <c r="H176" s="12" t="n"/>
      <c r="I176" s="12" t="n"/>
      <c r="J176" s="12" t="n"/>
    </row>
    <row r="177">
      <c r="A177" s="6" t="n"/>
      <c r="B177" s="6" t="n"/>
      <c r="C177" s="6" t="n"/>
      <c r="D177" s="6" t="n"/>
      <c r="E177" s="6" t="n"/>
      <c r="F177" s="6" t="n"/>
      <c r="G177" s="12" t="n"/>
      <c r="H177" s="12" t="n"/>
      <c r="I177" s="12" t="n"/>
      <c r="J177" s="12" t="n"/>
    </row>
    <row r="178">
      <c r="A178" s="6" t="n"/>
      <c r="B178" s="6" t="n"/>
      <c r="C178" s="6" t="n"/>
      <c r="D178" s="6" t="n"/>
      <c r="E178" s="6" t="n"/>
      <c r="F178" s="6" t="n"/>
      <c r="G178" s="12" t="n"/>
      <c r="H178" s="12" t="n"/>
      <c r="I178" s="12" t="n"/>
      <c r="J178" s="12" t="n"/>
    </row>
    <row r="179">
      <c r="A179" s="6" t="n"/>
      <c r="B179" s="6" t="n"/>
      <c r="C179" s="6" t="n"/>
      <c r="D179" s="6" t="n"/>
      <c r="E179" s="6" t="n"/>
      <c r="F179" s="6" t="n"/>
      <c r="G179" s="12" t="n"/>
      <c r="H179" s="12" t="n"/>
      <c r="I179" s="12" t="n"/>
      <c r="J179" s="12" t="n"/>
    </row>
    <row r="180">
      <c r="A180" s="6" t="n"/>
      <c r="B180" s="6" t="n"/>
      <c r="C180" s="6" t="n"/>
      <c r="D180" s="6" t="n"/>
      <c r="E180" s="6" t="n"/>
      <c r="F180" s="6" t="n"/>
      <c r="G180" s="12" t="n"/>
      <c r="H180" s="12" t="n"/>
      <c r="I180" s="12" t="n"/>
      <c r="J180" s="12" t="n"/>
    </row>
    <row r="181">
      <c r="A181" s="6" t="n"/>
      <c r="B181" s="6" t="n"/>
      <c r="C181" s="6" t="n"/>
      <c r="D181" s="6" t="n"/>
      <c r="E181" s="6" t="n"/>
      <c r="F181" s="6" t="n"/>
      <c r="G181" s="12" t="n"/>
      <c r="H181" s="12" t="n"/>
      <c r="I181" s="12" t="n"/>
      <c r="J181" s="12" t="n"/>
    </row>
    <row r="182">
      <c r="A182" s="6" t="n"/>
      <c r="B182" s="6" t="n"/>
      <c r="C182" s="6" t="n"/>
      <c r="D182" s="6" t="n"/>
      <c r="E182" s="6" t="n"/>
      <c r="F182" s="6" t="n"/>
      <c r="G182" s="12" t="n"/>
      <c r="H182" s="12" t="n"/>
      <c r="I182" s="12" t="n"/>
      <c r="J182" s="12" t="n"/>
    </row>
    <row r="183">
      <c r="A183" s="6" t="n"/>
      <c r="B183" s="6" t="n"/>
      <c r="C183" s="6" t="n"/>
      <c r="D183" s="6" t="n"/>
      <c r="E183" s="6" t="n"/>
      <c r="F183" s="6" t="n"/>
      <c r="G183" s="12" t="n"/>
      <c r="H183" s="12" t="n"/>
      <c r="I183" s="12" t="n"/>
      <c r="J183" s="12" t="n"/>
    </row>
    <row r="184">
      <c r="A184" s="6" t="n"/>
      <c r="B184" s="6" t="n"/>
      <c r="C184" s="6" t="n"/>
      <c r="D184" s="6" t="n"/>
      <c r="E184" s="6" t="n"/>
      <c r="F184" s="6" t="n"/>
      <c r="G184" s="12" t="n"/>
      <c r="H184" s="12" t="n"/>
      <c r="I184" s="12" t="n"/>
      <c r="J184" s="12" t="n"/>
    </row>
    <row r="185">
      <c r="A185" s="6" t="n"/>
      <c r="B185" s="6" t="n"/>
      <c r="C185" s="6" t="n"/>
      <c r="D185" s="6" t="n"/>
      <c r="E185" s="6" t="n"/>
      <c r="F185" s="6" t="n"/>
      <c r="G185" s="12" t="n"/>
      <c r="H185" s="12" t="n"/>
      <c r="I185" s="12" t="n"/>
      <c r="J185" s="12" t="n"/>
    </row>
    <row r="186">
      <c r="A186" s="6" t="n"/>
      <c r="B186" s="6" t="n"/>
      <c r="C186" s="6" t="n"/>
      <c r="D186" s="6" t="n"/>
      <c r="E186" s="6" t="n"/>
      <c r="F186" s="6" t="n"/>
      <c r="G186" s="12" t="n"/>
      <c r="H186" s="12" t="n"/>
      <c r="I186" s="12" t="n"/>
      <c r="J186" s="12" t="n"/>
    </row>
    <row r="187">
      <c r="A187" s="6" t="n"/>
      <c r="B187" s="6" t="n"/>
      <c r="C187" s="6" t="n"/>
      <c r="D187" s="6" t="n"/>
      <c r="E187" s="6" t="n"/>
      <c r="F187" s="6" t="n"/>
      <c r="G187" s="12" t="n"/>
      <c r="H187" s="12" t="n"/>
      <c r="I187" s="12" t="n"/>
      <c r="J187" s="12" t="n"/>
    </row>
    <row r="188">
      <c r="A188" s="6" t="n"/>
      <c r="B188" s="6" t="n"/>
      <c r="C188" s="6" t="n"/>
      <c r="D188" s="6" t="n"/>
      <c r="E188" s="6" t="n"/>
      <c r="F188" s="6" t="n"/>
      <c r="G188" s="12" t="n"/>
      <c r="H188" s="12" t="n"/>
      <c r="I188" s="12" t="n"/>
      <c r="J188" s="12" t="n"/>
    </row>
    <row r="189">
      <c r="A189" s="6" t="n"/>
      <c r="B189" s="6" t="n"/>
      <c r="C189" s="6" t="n"/>
      <c r="D189" s="6" t="n"/>
      <c r="E189" s="6" t="n"/>
      <c r="F189" s="6" t="n"/>
      <c r="G189" s="12" t="n"/>
      <c r="H189" s="12" t="n"/>
      <c r="I189" s="12" t="n"/>
      <c r="J189" s="12" t="n"/>
    </row>
    <row r="190">
      <c r="A190" s="6" t="n"/>
      <c r="B190" s="6" t="n"/>
      <c r="C190" s="6" t="n"/>
      <c r="D190" s="6" t="n"/>
      <c r="E190" s="6" t="n"/>
      <c r="F190" s="6" t="n"/>
      <c r="G190" s="12" t="n"/>
      <c r="H190" s="12" t="n"/>
      <c r="I190" s="12" t="n"/>
      <c r="J190" s="12" t="n"/>
    </row>
    <row r="191">
      <c r="A191" s="6" t="n"/>
      <c r="B191" s="6" t="n"/>
      <c r="C191" s="6" t="n"/>
      <c r="D191" s="6" t="n"/>
      <c r="E191" s="6" t="n"/>
      <c r="F191" s="6" t="n"/>
      <c r="G191" s="12" t="n"/>
      <c r="H191" s="12" t="n"/>
      <c r="I191" s="12" t="n"/>
      <c r="J191" s="12" t="n"/>
    </row>
    <row r="192">
      <c r="A192" s="6" t="n"/>
      <c r="B192" s="6" t="n"/>
      <c r="C192" s="6" t="n"/>
      <c r="D192" s="6" t="n"/>
      <c r="E192" s="6" t="n"/>
      <c r="F192" s="6" t="n"/>
      <c r="G192" s="12" t="n"/>
      <c r="H192" s="12" t="n"/>
      <c r="I192" s="12" t="n"/>
      <c r="J192" s="12" t="n"/>
    </row>
    <row r="193">
      <c r="A193" s="6" t="n"/>
      <c r="B193" s="6" t="n"/>
      <c r="C193" s="6" t="n"/>
      <c r="D193" s="6" t="n"/>
      <c r="E193" s="6" t="n"/>
      <c r="F193" s="6" t="n"/>
      <c r="G193" s="12" t="n"/>
      <c r="H193" s="12" t="n"/>
      <c r="I193" s="12" t="n"/>
      <c r="J193" s="12" t="n"/>
    </row>
    <row r="194">
      <c r="A194" s="6" t="n"/>
      <c r="B194" s="6" t="n"/>
      <c r="C194" s="6" t="n"/>
      <c r="D194" s="6" t="n"/>
      <c r="E194" s="6" t="n"/>
      <c r="F194" s="6" t="n"/>
      <c r="G194" s="12" t="n"/>
      <c r="H194" s="12" t="n"/>
      <c r="I194" s="12" t="n"/>
      <c r="J194" s="12" t="n"/>
    </row>
    <row r="195">
      <c r="A195" s="6" t="n"/>
      <c r="B195" s="6" t="n"/>
      <c r="C195" s="6" t="n"/>
      <c r="D195" s="6" t="n"/>
      <c r="E195" s="6" t="n"/>
      <c r="F195" s="6" t="n"/>
      <c r="G195" s="12" t="n"/>
      <c r="H195" s="12" t="n"/>
      <c r="I195" s="12" t="n"/>
      <c r="J195" s="12" t="n"/>
    </row>
    <row r="196">
      <c r="A196" s="6" t="n"/>
      <c r="B196" s="6" t="n"/>
      <c r="C196" s="6" t="n"/>
      <c r="D196" s="6" t="n"/>
      <c r="E196" s="6" t="n"/>
      <c r="F196" s="6" t="n"/>
      <c r="G196" s="12" t="n"/>
      <c r="H196" s="12" t="n"/>
      <c r="I196" s="12" t="n"/>
      <c r="J196" s="12" t="n"/>
    </row>
    <row r="197">
      <c r="A197" s="6" t="n"/>
      <c r="B197" s="6" t="n"/>
      <c r="C197" s="6" t="n"/>
      <c r="D197" s="6" t="n"/>
      <c r="E197" s="6" t="n"/>
      <c r="F197" s="6" t="n"/>
      <c r="G197" s="12" t="n"/>
      <c r="H197" s="12" t="n"/>
      <c r="I197" s="12" t="n"/>
      <c r="J197" s="12" t="n"/>
    </row>
    <row r="198">
      <c r="A198" s="6" t="n"/>
      <c r="B198" s="6" t="n"/>
      <c r="C198" s="6" t="n"/>
      <c r="D198" s="6" t="n"/>
      <c r="E198" s="6" t="n"/>
      <c r="F198" s="6" t="n"/>
      <c r="G198" s="12" t="n"/>
      <c r="H198" s="12" t="n"/>
      <c r="I198" s="12" t="n"/>
      <c r="J198" s="12" t="n"/>
    </row>
    <row r="199">
      <c r="A199" s="6" t="n"/>
      <c r="B199" s="6" t="n"/>
      <c r="C199" s="6" t="n"/>
      <c r="D199" s="6" t="n"/>
      <c r="E199" s="6" t="n"/>
      <c r="F199" s="6" t="n"/>
      <c r="G199" s="12" t="n"/>
      <c r="H199" s="12" t="n"/>
      <c r="I199" s="12" t="n"/>
      <c r="J199" s="12" t="n"/>
    </row>
    <row r="200">
      <c r="A200" s="6" t="n"/>
      <c r="B200" s="6" t="n"/>
      <c r="C200" s="6" t="n"/>
      <c r="D200" s="6" t="n"/>
      <c r="E200" s="6" t="n"/>
      <c r="F200" s="6" t="n"/>
      <c r="G200" s="12" t="n"/>
      <c r="H200" s="12" t="n"/>
      <c r="I200" s="12" t="n"/>
      <c r="J200" s="12" t="n"/>
    </row>
    <row r="201">
      <c r="A201" s="6" t="n"/>
      <c r="B201" s="6" t="n"/>
      <c r="C201" s="6" t="n"/>
      <c r="D201" s="6" t="n"/>
      <c r="E201" s="6" t="n"/>
      <c r="F201" s="6" t="n"/>
      <c r="G201" s="12" t="n"/>
      <c r="H201" s="12" t="n"/>
      <c r="I201" s="12" t="n"/>
      <c r="J201" s="12" t="n"/>
    </row>
    <row r="202">
      <c r="A202" s="6" t="n"/>
      <c r="B202" s="6" t="n"/>
      <c r="C202" s="6" t="n"/>
      <c r="D202" s="6" t="n"/>
      <c r="E202" s="6" t="n"/>
      <c r="F202" s="6" t="n"/>
      <c r="G202" s="12" t="n"/>
      <c r="H202" s="12" t="n"/>
      <c r="I202" s="12" t="n"/>
      <c r="J202" s="12" t="n"/>
    </row>
    <row r="203">
      <c r="A203" s="6" t="n"/>
      <c r="B203" s="6" t="n"/>
      <c r="C203" s="6" t="n"/>
      <c r="D203" s="6" t="n"/>
      <c r="E203" s="6" t="n"/>
      <c r="F203" s="6" t="n"/>
      <c r="G203" s="12" t="n"/>
      <c r="H203" s="12" t="n"/>
      <c r="I203" s="12" t="n"/>
      <c r="J203" s="12" t="n"/>
    </row>
    <row r="204">
      <c r="A204" s="6" t="n"/>
      <c r="B204" s="6" t="n"/>
      <c r="C204" s="6" t="n"/>
      <c r="D204" s="6" t="n"/>
      <c r="E204" s="6" t="n"/>
      <c r="F204" s="6" t="n"/>
      <c r="G204" s="12" t="n"/>
      <c r="H204" s="12" t="n"/>
      <c r="I204" s="12" t="n"/>
      <c r="J204" s="12" t="n"/>
    </row>
    <row r="206">
      <c r="A206" s="8" t="inlineStr">
        <is>
          <t>기준값 (lab_pipeline.CRITERIA)</t>
        </is>
      </c>
    </row>
    <row r="207">
      <c r="A207" s="15" t="inlineStr">
        <is>
          <t>doc_id_unique</t>
        </is>
      </c>
      <c r="B207" s="16" t="n">
        <v>1</v>
      </c>
    </row>
    <row r="208">
      <c r="A208" s="15" t="inlineStr">
        <is>
          <t>body_present</t>
        </is>
      </c>
      <c r="B208" s="16" t="n">
        <v>0.98</v>
      </c>
    </row>
    <row r="209">
      <c r="A209" s="15" t="inlineStr">
        <is>
          <t>date_present</t>
        </is>
      </c>
      <c r="B209" s="16" t="n">
        <v>0.95</v>
      </c>
    </row>
    <row r="210">
      <c r="A210" s="15" t="inlineStr">
        <is>
          <t>meta_required</t>
        </is>
      </c>
      <c r="B210" s="16" t="n">
        <v>0.95</v>
      </c>
    </row>
    <row r="211">
      <c r="A211" s="15" t="inlineStr">
        <is>
          <t>chunk_coverage</t>
        </is>
      </c>
      <c r="B211" s="16" t="n">
        <v>0.98</v>
      </c>
    </row>
    <row r="212">
      <c r="A212" s="15" t="inlineStr">
        <is>
          <t>orphan_chunk</t>
        </is>
      </c>
      <c r="B212" s="16" t="n">
        <v>0</v>
      </c>
    </row>
    <row r="213">
      <c r="A213" s="15" t="inlineStr">
        <is>
          <t>seq_integrity</t>
        </is>
      </c>
      <c r="B213" s="16" t="n">
        <v>1</v>
      </c>
    </row>
    <row r="214">
      <c r="A214" s="15" t="inlineStr">
        <is>
          <t>empty_chunk</t>
        </is>
      </c>
      <c r="B214" s="16" t="n">
        <v>0.01</v>
      </c>
    </row>
    <row r="215">
      <c r="A215" s="15" t="inlineStr">
        <is>
          <t>index_match</t>
        </is>
      </c>
      <c r="B215" s="16" t="n">
        <v>0.99</v>
      </c>
    </row>
    <row r="216">
      <c r="A216" s="15" t="inlineStr">
        <is>
          <t>dup_body</t>
        </is>
      </c>
      <c r="B216" s="16" t="n">
        <v>0.05</v>
      </c>
    </row>
    <row r="218">
      <c r="A218" s="8" t="inlineStr">
        <is>
          <t>집계</t>
        </is>
      </c>
    </row>
    <row r="219">
      <c r="A219" s="13" t="inlineStr">
        <is>
          <t>점검 항목 수</t>
        </is>
      </c>
      <c r="B219" s="14">
        <f>COUNTIF(B5:B204,"&lt;&gt;")</f>
        <v>0</v>
      </c>
    </row>
    <row r="220">
      <c r="A220" s="13" t="inlineStr">
        <is>
          <t>미달</t>
        </is>
      </c>
      <c r="B220" s="14">
        <f>COUNTIF(E5:E204,"미달")</f>
        <v>0</v>
      </c>
    </row>
    <row r="221">
      <c r="A221" s="13" t="inlineStr">
        <is>
          <t>조치 완료</t>
        </is>
      </c>
      <c r="B221" s="14">
        <f>COUNTIF(J5:J204,"조치 완료")</f>
        <v>0</v>
      </c>
    </row>
    <row r="222">
      <c r="A222" s="13" t="inlineStr">
        <is>
          <t>해소율</t>
        </is>
      </c>
      <c r="B222" s="17" t="str">
        <f>IFERROR(COUNTIF(J5:J204,"조치 완료")/COUNTIF(E5:E204,"미달"),"")</f>
        <v/>
      </c>
    </row>
  </sheetData>
  <autoFilter ref="A4:J204"/>
  <mergeCells count="2">
    <mergeCell ref="A1:J1"/>
    <mergeCell ref="A2:J2"/>
  </mergeCells>
  <dataValidations count="1">
    <dataValidation sqref="J5:J204" showDropDown="0" showInputMessage="0" showErrorMessage="0" allowBlank="1" type="list">
      <formula1>"조치 완료,조치 중,미착수,해당없음"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34" customWidth="1" min="10" max="10"/>
  </cols>
  <sheetData>
    <row r="1">
      <c r="A1" s="11" t="inlineStr">
        <is>
          <t>4. 골든셋 현황</t>
        </is>
      </c>
    </row>
    <row r="2">
      <c r="A2" s="2" t="inlineStr">
        <is>
          <t>nb12(LLM 생성) · nb11(근거 연결) · nb08(자동 생성) 결과를 회차별로 기입</t>
        </is>
      </c>
    </row>
    <row r="4">
      <c r="A4" s="3" t="inlineStr">
        <is>
          <t>골든셋</t>
        </is>
      </c>
      <c r="B4" s="3" t="inlineStr">
        <is>
          <t>생성 방식</t>
        </is>
      </c>
      <c r="C4" s="3" t="inlineStr">
        <is>
          <t>생성 건수</t>
        </is>
      </c>
      <c r="D4" s="3" t="inlineStr">
        <is>
          <t>자가검증 통과</t>
        </is>
      </c>
      <c r="E4" s="3" t="inlineStr">
        <is>
          <t>검수 채택</t>
        </is>
      </c>
      <c r="F4" s="3" t="inlineStr">
        <is>
          <t>확정 건수</t>
        </is>
      </c>
      <c r="G4" s="3" t="inlineStr">
        <is>
          <t>근거 확보율</t>
        </is>
      </c>
      <c r="H4" s="3" t="inlineStr">
        <is>
          <t>평가 사용</t>
        </is>
      </c>
      <c r="I4" s="3" t="inlineStr">
        <is>
          <t>갱신일</t>
        </is>
      </c>
      <c r="J4" s="3" t="inlineStr">
        <is>
          <t>비고</t>
        </is>
      </c>
    </row>
    <row r="5">
      <c r="A5" s="12" t="inlineStr">
        <is>
          <t>golden_llm_v1 (LLM 생성)</t>
        </is>
      </c>
      <c r="B5" s="7" t="inlineStr">
        <is>
          <t>nb12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12" t="inlineStr">
        <is>
          <t>코퍼스 기반 · 근거 포함</t>
        </is>
      </c>
    </row>
    <row r="6">
      <c r="A6" s="12" t="inlineStr">
        <is>
          <t>golden_from_bank (사외 60문항 연결)</t>
        </is>
      </c>
      <c r="B6" s="7" t="inlineStr">
        <is>
          <t>nb11</t>
        </is>
      </c>
      <c r="C6" s="7" t="n">
        <v>60</v>
      </c>
      <c r="D6" s="7" t="inlineStr"/>
      <c r="E6" s="7" t="inlineStr"/>
      <c r="F6" s="7" t="inlineStr"/>
      <c r="G6" s="7" t="inlineStr"/>
      <c r="H6" s="7" t="inlineStr"/>
      <c r="I6" s="7" t="inlineStr"/>
      <c r="J6" s="12" t="inlineStr">
        <is>
          <t>근거 확보분만 평가 대상</t>
        </is>
      </c>
    </row>
    <row r="7">
      <c r="A7" s="12" t="inlineStr">
        <is>
          <t>golden_v1 (자동 평가셋)</t>
        </is>
      </c>
      <c r="B7" s="7" t="inlineStr">
        <is>
          <t>nb08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12" t="inlineStr">
        <is>
          <t>라벨 0건 · known-item · 제목 · 합성</t>
        </is>
      </c>
    </row>
    <row r="8">
      <c r="A8" s="12" t="inlineStr">
        <is>
          <t>smoke20 (스모크)</t>
        </is>
      </c>
      <c r="B8" s="7" t="inlineStr">
        <is>
          <t>수기</t>
        </is>
      </c>
      <c r="C8" s="7" t="n">
        <v>20</v>
      </c>
      <c r="D8" s="7" t="inlineStr">
        <is>
          <t>-</t>
        </is>
      </c>
      <c r="E8" s="7" t="inlineStr">
        <is>
          <t>-</t>
        </is>
      </c>
      <c r="F8" s="7" t="n">
        <v>20</v>
      </c>
      <c r="G8" s="7" t="inlineStr">
        <is>
          <t>-</t>
        </is>
      </c>
      <c r="H8" s="7" t="inlineStr"/>
      <c r="I8" s="7" t="inlineStr"/>
      <c r="J8" s="12" t="inlineStr">
        <is>
          <t>체감 점검용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8" t="inlineStr">
        <is>
          <t>유형 배분 (목표 대비)</t>
        </is>
      </c>
      <c r="B11" s="12" t="n"/>
      <c r="C11" s="19" t="inlineStr">
        <is>
          <t>확정 총 건수 →</t>
        </is>
      </c>
      <c r="D11" s="20" t="n"/>
      <c r="E11" s="12" t="n"/>
      <c r="F11" s="12" t="n"/>
      <c r="G11" s="12" t="n"/>
      <c r="H11" s="12" t="n"/>
      <c r="I11" s="12" t="n"/>
      <c r="J11" s="12" t="n"/>
    </row>
    <row r="12">
      <c r="A12" s="3" t="inlineStr">
        <is>
          <t>유형</t>
        </is>
      </c>
      <c r="B12" s="3" t="inlineStr">
        <is>
          <t>목표 비중</t>
        </is>
      </c>
      <c r="C12" s="3" t="inlineStr">
        <is>
          <t>목표 건수(확정 기준)</t>
        </is>
      </c>
      <c r="D12" s="3" t="inlineStr">
        <is>
          <t>실제 건수</t>
        </is>
      </c>
      <c r="E12" s="3" t="inlineStr">
        <is>
          <t>비중</t>
        </is>
      </c>
      <c r="F12" s="3" t="inlineStr">
        <is>
          <t>판정</t>
        </is>
      </c>
      <c r="G12" s="12" t="n"/>
      <c r="H12" s="12" t="n"/>
      <c r="I12" s="12" t="n"/>
      <c r="J12" s="12" t="n"/>
    </row>
    <row r="13">
      <c r="A13" s="21" t="inlineStr">
        <is>
          <t>사실</t>
        </is>
      </c>
      <c r="B13" s="22" t="n">
        <v>0.3</v>
      </c>
      <c r="C13" s="23" t="str">
        <f>IF($D$11="","",ROUND($D$11*B13,0))</f>
        <v/>
      </c>
      <c r="D13" s="7" t="n"/>
      <c r="E13" s="24" t="str">
        <f>IFERROR(D13/SUM($D$13:$D$18),"")</f>
        <v/>
      </c>
      <c r="F13" s="23" t="str">
        <f>IF(D13="","",IF(D13&lt;C13*0.6,"부족",IF(D13&gt;C13*1.5,"과다","적정")))</f>
        <v/>
      </c>
      <c r="G13" s="12" t="n"/>
      <c r="H13" s="12" t="n"/>
      <c r="I13" s="12" t="n"/>
      <c r="J13" s="12" t="n"/>
    </row>
    <row r="14">
      <c r="A14" s="21" t="inlineStr">
        <is>
          <t>수치</t>
        </is>
      </c>
      <c r="B14" s="22" t="n">
        <v>0.25</v>
      </c>
      <c r="C14" s="23" t="str">
        <f>IF($D$11="","",ROUND($D$11*B14,0))</f>
        <v/>
      </c>
      <c r="D14" s="7" t="n"/>
      <c r="E14" s="24" t="str">
        <f>IFERROR(D14/SUM($D$13:$D$18),"")</f>
        <v/>
      </c>
      <c r="F14" s="23" t="str">
        <f>IF(D14="","",IF(D14&lt;C14*0.6,"부족",IF(D14&gt;C14*1.5,"과다","적정")))</f>
        <v/>
      </c>
      <c r="G14" s="12" t="n"/>
      <c r="H14" s="12" t="n"/>
      <c r="I14" s="12" t="n"/>
      <c r="J14" s="12" t="n"/>
    </row>
    <row r="15">
      <c r="A15" s="21" t="inlineStr">
        <is>
          <t>종합</t>
        </is>
      </c>
      <c r="B15" s="22" t="n">
        <v>0.15</v>
      </c>
      <c r="C15" s="23" t="str">
        <f>IF($D$11="","",ROUND($D$11*B15,0))</f>
        <v/>
      </c>
      <c r="D15" s="7" t="n"/>
      <c r="E15" s="24" t="str">
        <f>IFERROR(D15/SUM($D$13:$D$18),"")</f>
        <v/>
      </c>
      <c r="F15" s="23" t="str">
        <f>IF(D15="","",IF(D15&lt;C15*0.6,"부족",IF(D15&gt;C15*1.5,"과다","적정")))</f>
        <v/>
      </c>
      <c r="G15" s="12" t="n"/>
      <c r="H15" s="12" t="n"/>
      <c r="I15" s="12" t="n"/>
      <c r="J15" s="12" t="n"/>
    </row>
    <row r="16">
      <c r="A16" s="21" t="inlineStr">
        <is>
          <t>기간</t>
        </is>
      </c>
      <c r="B16" s="22" t="n">
        <v>0.1</v>
      </c>
      <c r="C16" s="23" t="str">
        <f>IF($D$11="","",ROUND($D$11*B16,0))</f>
        <v/>
      </c>
      <c r="D16" s="7" t="n"/>
      <c r="E16" s="24" t="str">
        <f>IFERROR(D16/SUM($D$13:$D$18),"")</f>
        <v/>
      </c>
      <c r="F16" s="23" t="str">
        <f>IF(D16="","",IF(D16&lt;C16*0.6,"부족",IF(D16&gt;C16*1.5,"과다","적정")))</f>
        <v/>
      </c>
      <c r="G16" s="12" t="n"/>
      <c r="H16" s="12" t="n"/>
      <c r="I16" s="12" t="n"/>
      <c r="J16" s="12" t="n"/>
    </row>
    <row r="17">
      <c r="A17" s="21" t="inlineStr">
        <is>
          <t>비교</t>
        </is>
      </c>
      <c r="B17" s="22" t="n">
        <v>0.1</v>
      </c>
      <c r="C17" s="23" t="str">
        <f>IF($D$11="","",ROUND($D$11*B17,0))</f>
        <v/>
      </c>
      <c r="D17" s="7" t="n"/>
      <c r="E17" s="24" t="str">
        <f>IFERROR(D17/SUM($D$13:$D$18),"")</f>
        <v/>
      </c>
      <c r="F17" s="23" t="str">
        <f>IF(D17="","",IF(D17&lt;C17*0.6,"부족",IF(D17&gt;C17*1.5,"과다","적정")))</f>
        <v/>
      </c>
      <c r="G17" s="12" t="n"/>
      <c r="H17" s="12" t="n"/>
      <c r="I17" s="12" t="n"/>
      <c r="J17" s="12" t="n"/>
    </row>
    <row r="18">
      <c r="A18" s="21" t="inlineStr">
        <is>
          <t>답없음</t>
        </is>
      </c>
      <c r="B18" s="22" t="n">
        <v>0.1</v>
      </c>
      <c r="C18" s="23" t="str">
        <f>IF($D$11="","",ROUND($D$11*B18,0))</f>
        <v/>
      </c>
      <c r="D18" s="7" t="n"/>
      <c r="E18" s="24" t="str">
        <f>IFERROR(D18/SUM($D$13:$D$18),"")</f>
        <v/>
      </c>
      <c r="F18" s="23" t="str">
        <f>IF(D18="","",IF(D18&lt;C18*0.6,"부족",IF(D18&gt;C18*1.5,"과다","적정")))</f>
        <v/>
      </c>
      <c r="G18" s="12" t="n"/>
      <c r="H18" s="12" t="n"/>
      <c r="I18" s="12" t="n"/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</row>
  </sheetData>
  <autoFilter ref="A4:J20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8" customWidth="1" min="4" max="4"/>
    <col width="40" customWidth="1" min="5" max="5"/>
    <col width="13" customWidth="1" min="6" max="6"/>
    <col width="10" customWidth="1" min="7" max="7"/>
    <col width="8" customWidth="1" min="8" max="8"/>
    <col width="12" customWidth="1" min="9" max="9"/>
    <col width="16" customWidth="1" min="10" max="10"/>
    <col width="9" customWidth="1" min="11" max="11"/>
    <col width="11" customWidth="1" min="12" max="12"/>
    <col width="8" customWidth="1" min="13" max="13"/>
    <col width="9" customWidth="1" min="14" max="14"/>
    <col width="30" customWidth="1" min="15" max="15"/>
  </cols>
  <sheetData>
    <row r="1">
      <c r="A1" s="11" t="inlineStr">
        <is>
          <t>5. 실험 이력</t>
        </is>
      </c>
    </row>
    <row r="2">
      <c r="A2" s="2" t="inlineStr">
        <is>
          <t>설정을 하나만 바꾸고 1회차 기록 · 이전 회차 대비 개선 여부 자동 판정</t>
        </is>
      </c>
    </row>
    <row r="4">
      <c r="A4" s="3" t="inlineStr">
        <is>
          <t>회차</t>
        </is>
      </c>
      <c r="B4" s="3" t="inlineStr">
        <is>
          <t>일자</t>
        </is>
      </c>
      <c r="C4" s="3" t="inlineStr">
        <is>
          <t>평가셋</t>
        </is>
      </c>
      <c r="D4" s="3" t="inlineStr">
        <is>
          <t>문항 수</t>
        </is>
      </c>
      <c r="E4" s="3" t="inlineStr">
        <is>
          <t>변경 내용 (1회 1개)</t>
        </is>
      </c>
      <c r="F4" s="3" t="inlineStr">
        <is>
          <t>프리셋</t>
        </is>
      </c>
      <c r="G4" s="3" t="inlineStr">
        <is>
          <t>Recall@5</t>
        </is>
      </c>
      <c r="H4" s="3" t="inlineStr">
        <is>
          <t>MRR</t>
        </is>
      </c>
      <c r="I4" s="3" t="inlineStr">
        <is>
          <t>Faithfulness</t>
        </is>
      </c>
      <c r="J4" s="3" t="inlineStr">
        <is>
          <t>Answer Correctness</t>
        </is>
      </c>
      <c r="K4" s="3" t="inlineStr">
        <is>
          <t>Citation</t>
        </is>
      </c>
      <c r="L4" s="3" t="inlineStr">
        <is>
          <t>거절 정확도</t>
        </is>
      </c>
      <c r="M4" s="3" t="inlineStr">
        <is>
          <t>p95 초</t>
        </is>
      </c>
      <c r="N4" s="3" t="inlineStr">
        <is>
          <t>판정</t>
        </is>
      </c>
      <c r="O4" s="3" t="inlineStr">
        <is>
          <t>비고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23" t="inlineStr"/>
      <c r="O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23" t="str">
        <f>IF(OR(G6="",G5=""),"",IF(G6-G5&gt;0.03,"개선",IF(G6-G5&lt;-0.03,"퇴행","차이 없음")))</f>
        <v/>
      </c>
      <c r="O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23" t="str">
        <f>IF(OR(G7="",G6=""),"",IF(G7-G6&gt;0.03,"개선",IF(G7-G6&lt;-0.03,"퇴행","차이 없음")))</f>
        <v/>
      </c>
      <c r="O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23" t="str">
        <f>IF(OR(G8="",G7=""),"",IF(G8-G7&gt;0.03,"개선",IF(G8-G7&lt;-0.03,"퇴행","차이 없음")))</f>
        <v/>
      </c>
      <c r="O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23" t="str">
        <f>IF(OR(G9="",G8=""),"",IF(G9-G8&gt;0.03,"개선",IF(G9-G8&lt;-0.03,"퇴행","차이 없음")))</f>
        <v/>
      </c>
      <c r="O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23" t="str">
        <f>IF(OR(G10="",G9=""),"",IF(G10-G9&gt;0.03,"개선",IF(G10-G9&lt;-0.03,"퇴행","차이 없음")))</f>
        <v/>
      </c>
      <c r="O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23" t="str">
        <f>IF(OR(G11="",G10=""),"",IF(G11-G10&gt;0.03,"개선",IF(G11-G10&lt;-0.03,"퇴행","차이 없음")))</f>
        <v/>
      </c>
      <c r="O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23" t="str">
        <f>IF(OR(G12="",G11=""),"",IF(G12-G11&gt;0.03,"개선",IF(G12-G11&lt;-0.03,"퇴행","차이 없음")))</f>
        <v/>
      </c>
      <c r="O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23" t="str">
        <f>IF(OR(G13="",G12=""),"",IF(G13-G12&gt;0.03,"개선",IF(G13-G12&lt;-0.03,"퇴행","차이 없음")))</f>
        <v/>
      </c>
      <c r="O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23" t="str">
        <f>IF(OR(G14="",G13=""),"",IF(G14-G13&gt;0.03,"개선",IF(G14-G13&lt;-0.03,"퇴행","차이 없음")))</f>
        <v/>
      </c>
      <c r="O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23" t="str">
        <f>IF(OR(G15="",G14=""),"",IF(G15-G14&gt;0.03,"개선",IF(G15-G14&lt;-0.03,"퇴행","차이 없음")))</f>
        <v/>
      </c>
      <c r="O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23" t="str">
        <f>IF(OR(G16="",G15=""),"",IF(G16-G15&gt;0.03,"개선",IF(G16-G15&lt;-0.03,"퇴행","차이 없음")))</f>
        <v/>
      </c>
      <c r="O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23" t="str">
        <f>IF(OR(G17="",G16=""),"",IF(G17-G16&gt;0.03,"개선",IF(G17-G16&lt;-0.03,"퇴행","차이 없음")))</f>
        <v/>
      </c>
      <c r="O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23" t="str">
        <f>IF(OR(G18="",G17=""),"",IF(G18-G17&gt;0.03,"개선",IF(G18-G17&lt;-0.03,"퇴행","차이 없음")))</f>
        <v/>
      </c>
      <c r="O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23" t="str">
        <f>IF(OR(G19="",G18=""),"",IF(G19-G18&gt;0.03,"개선",IF(G19-G18&lt;-0.03,"퇴행","차이 없음")))</f>
        <v/>
      </c>
      <c r="O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23" t="str">
        <f>IF(OR(G20="",G19=""),"",IF(G20-G19&gt;0.03,"개선",IF(G20-G19&lt;-0.03,"퇴행","차이 없음")))</f>
        <v/>
      </c>
      <c r="O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23" t="str">
        <f>IF(OR(G21="",G20=""),"",IF(G21-G20&gt;0.03,"개선",IF(G21-G20&lt;-0.03,"퇴행","차이 없음")))</f>
        <v/>
      </c>
      <c r="O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23" t="str">
        <f>IF(OR(G22="",G21=""),"",IF(G22-G21&gt;0.03,"개선",IF(G22-G21&lt;-0.03,"퇴행","차이 없음")))</f>
        <v/>
      </c>
      <c r="O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23" t="str">
        <f>IF(OR(G23="",G22=""),"",IF(G23-G22&gt;0.03,"개선",IF(G23-G22&lt;-0.03,"퇴행","차이 없음")))</f>
        <v/>
      </c>
      <c r="O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23" t="str">
        <f>IF(OR(G24="",G23=""),"",IF(G24-G23&gt;0.03,"개선",IF(G24-G23&lt;-0.03,"퇴행","차이 없음")))</f>
        <v/>
      </c>
      <c r="O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23" t="str">
        <f>IF(OR(G25="",G24=""),"",IF(G25-G24&gt;0.03,"개선",IF(G25-G24&lt;-0.03,"퇴행","차이 없음")))</f>
        <v/>
      </c>
      <c r="O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23" t="str">
        <f>IF(OR(G26="",G25=""),"",IF(G26-G25&gt;0.03,"개선",IF(G26-G25&lt;-0.03,"퇴행","차이 없음")))</f>
        <v/>
      </c>
      <c r="O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23" t="str">
        <f>IF(OR(G27="",G26=""),"",IF(G27-G26&gt;0.03,"개선",IF(G27-G26&lt;-0.03,"퇴행","차이 없음")))</f>
        <v/>
      </c>
      <c r="O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23" t="str">
        <f>IF(OR(G28="",G27=""),"",IF(G28-G27&gt;0.03,"개선",IF(G28-G27&lt;-0.03,"퇴행","차이 없음")))</f>
        <v/>
      </c>
      <c r="O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23" t="str">
        <f>IF(OR(G29="",G28=""),"",IF(G29-G28&gt;0.03,"개선",IF(G29-G28&lt;-0.03,"퇴행","차이 없음")))</f>
        <v/>
      </c>
      <c r="O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23" t="str">
        <f>IF(OR(G30="",G29=""),"",IF(G30-G29&gt;0.03,"개선",IF(G30-G29&lt;-0.03,"퇴행","차이 없음")))</f>
        <v/>
      </c>
      <c r="O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23" t="str">
        <f>IF(OR(G31="",G30=""),"",IF(G31-G30&gt;0.03,"개선",IF(G31-G30&lt;-0.03,"퇴행","차이 없음")))</f>
        <v/>
      </c>
      <c r="O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23" t="str">
        <f>IF(OR(G32="",G31=""),"",IF(G32-G31&gt;0.03,"개선",IF(G32-G31&lt;-0.03,"퇴행","차이 없음")))</f>
        <v/>
      </c>
      <c r="O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23" t="str">
        <f>IF(OR(G33="",G32=""),"",IF(G33-G32&gt;0.03,"개선",IF(G33-G32&lt;-0.03,"퇴행","차이 없음")))</f>
        <v/>
      </c>
      <c r="O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23" t="str">
        <f>IF(OR(G34="",G33=""),"",IF(G34-G33&gt;0.03,"개선",IF(G34-G33&lt;-0.03,"퇴행","차이 없음")))</f>
        <v/>
      </c>
      <c r="O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23" t="str">
        <f>IF(OR(G35="",G34=""),"",IF(G35-G34&gt;0.03,"개선",IF(G35-G34&lt;-0.03,"퇴행","차이 없음")))</f>
        <v/>
      </c>
      <c r="O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23" t="str">
        <f>IF(OR(G36="",G35=""),"",IF(G36-G35&gt;0.03,"개선",IF(G36-G35&lt;-0.03,"퇴행","차이 없음")))</f>
        <v/>
      </c>
      <c r="O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3" t="str">
        <f>IF(OR(G37="",G36=""),"",IF(G37-G36&gt;0.03,"개선",IF(G37-G36&lt;-0.03,"퇴행","차이 없음")))</f>
        <v/>
      </c>
      <c r="O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23" t="str">
        <f>IF(OR(G38="",G37=""),"",IF(G38-G37&gt;0.03,"개선",IF(G38-G37&lt;-0.03,"퇴행","차이 없음")))</f>
        <v/>
      </c>
      <c r="O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23" t="str">
        <f>IF(OR(G39="",G38=""),"",IF(G39-G38&gt;0.03,"개선",IF(G39-G38&lt;-0.03,"퇴행","차이 없음")))</f>
        <v/>
      </c>
      <c r="O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3" t="str">
        <f>IF(OR(G40="",G39=""),"",IF(G40-G39&gt;0.03,"개선",IF(G40-G39&lt;-0.03,"퇴행","차이 없음")))</f>
        <v/>
      </c>
      <c r="O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3" t="str">
        <f>IF(OR(G41="",G40=""),"",IF(G41-G40&gt;0.03,"개선",IF(G41-G40&lt;-0.03,"퇴행","차이 없음")))</f>
        <v/>
      </c>
      <c r="O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23" t="str">
        <f>IF(OR(G42="",G41=""),"",IF(G42-G41&gt;0.03,"개선",IF(G42-G41&lt;-0.03,"퇴행","차이 없음")))</f>
        <v/>
      </c>
      <c r="O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23" t="str">
        <f>IF(OR(G43="",G42=""),"",IF(G43-G42&gt;0.03,"개선",IF(G43-G42&lt;-0.03,"퇴행","차이 없음")))</f>
        <v/>
      </c>
      <c r="O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3" t="str">
        <f>IF(OR(G44="",G43=""),"",IF(G44-G43&gt;0.03,"개선",IF(G44-G43&lt;-0.03,"퇴행","차이 없음")))</f>
        <v/>
      </c>
      <c r="O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23" t="str">
        <f>IF(OR(G45="",G44=""),"",IF(G45-G44&gt;0.03,"개선",IF(G45-G44&lt;-0.03,"퇴행","차이 없음")))</f>
        <v/>
      </c>
      <c r="O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3" t="str">
        <f>IF(OR(G46="",G45=""),"",IF(G46-G45&gt;0.03,"개선",IF(G46-G45&lt;-0.03,"퇴행","차이 없음")))</f>
        <v/>
      </c>
      <c r="O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23" t="str">
        <f>IF(OR(G47="",G46=""),"",IF(G47-G46&gt;0.03,"개선",IF(G47-G46&lt;-0.03,"퇴행","차이 없음")))</f>
        <v/>
      </c>
      <c r="O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23" t="str">
        <f>IF(OR(G48="",G47=""),"",IF(G48-G47&gt;0.03,"개선",IF(G48-G47&lt;-0.03,"퇴행","차이 없음")))</f>
        <v/>
      </c>
      <c r="O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23" t="str">
        <f>IF(OR(G49="",G48=""),"",IF(G49-G48&gt;0.03,"개선",IF(G49-G48&lt;-0.03,"퇴행","차이 없음")))</f>
        <v/>
      </c>
      <c r="O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23" t="str">
        <f>IF(OR(G50="",G49=""),"",IF(G50-G49&gt;0.03,"개선",IF(G50-G49&lt;-0.03,"퇴행","차이 없음")))</f>
        <v/>
      </c>
      <c r="O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23" t="str">
        <f>IF(OR(G51="",G50=""),"",IF(G51-G50&gt;0.03,"개선",IF(G51-G50&lt;-0.03,"퇴행","차이 없음")))</f>
        <v/>
      </c>
      <c r="O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23" t="str">
        <f>IF(OR(G52="",G51=""),"",IF(G52-G51&gt;0.03,"개선",IF(G52-G51&lt;-0.03,"퇴행","차이 없음")))</f>
        <v/>
      </c>
      <c r="O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23" t="str">
        <f>IF(OR(G53="",G52=""),"",IF(G53-G52&gt;0.03,"개선",IF(G53-G52&lt;-0.03,"퇴행","차이 없음")))</f>
        <v/>
      </c>
      <c r="O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23" t="str">
        <f>IF(OR(G54="",G53=""),"",IF(G54-G53&gt;0.03,"개선",IF(G54-G53&lt;-0.03,"퇴행","차이 없음")))</f>
        <v/>
      </c>
      <c r="O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23" t="str">
        <f>IF(OR(G55="",G54=""),"",IF(G55-G54&gt;0.03,"개선",IF(G55-G54&lt;-0.03,"퇴행","차이 없음")))</f>
        <v/>
      </c>
      <c r="O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3" t="str">
        <f>IF(OR(G56="",G55=""),"",IF(G56-G55&gt;0.03,"개선",IF(G56-G55&lt;-0.03,"퇴행","차이 없음")))</f>
        <v/>
      </c>
      <c r="O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23" t="str">
        <f>IF(OR(G57="",G56=""),"",IF(G57-G56&gt;0.03,"개선",IF(G57-G56&lt;-0.03,"퇴행","차이 없음")))</f>
        <v/>
      </c>
      <c r="O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23" t="str">
        <f>IF(OR(G58="",G57=""),"",IF(G58-G57&gt;0.03,"개선",IF(G58-G57&lt;-0.03,"퇴행","차이 없음")))</f>
        <v/>
      </c>
      <c r="O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23" t="str">
        <f>IF(OR(G59="",G58=""),"",IF(G59-G58&gt;0.03,"개선",IF(G59-G58&lt;-0.03,"퇴행","차이 없음")))</f>
        <v/>
      </c>
      <c r="O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23" t="str">
        <f>IF(OR(G60="",G59=""),"",IF(G60-G59&gt;0.03,"개선",IF(G60-G59&lt;-0.03,"퇴행","차이 없음")))</f>
        <v/>
      </c>
      <c r="O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23" t="str">
        <f>IF(OR(G61="",G60=""),"",IF(G61-G60&gt;0.03,"개선",IF(G61-G60&lt;-0.03,"퇴행","차이 없음")))</f>
        <v/>
      </c>
      <c r="O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23" t="str">
        <f>IF(OR(G62="",G61=""),"",IF(G62-G61&gt;0.03,"개선",IF(G62-G61&lt;-0.03,"퇴행","차이 없음")))</f>
        <v/>
      </c>
      <c r="O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23" t="str">
        <f>IF(OR(G63="",G62=""),"",IF(G63-G62&gt;0.03,"개선",IF(G63-G62&lt;-0.03,"퇴행","차이 없음")))</f>
        <v/>
      </c>
      <c r="O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23" t="str">
        <f>IF(OR(G64="",G63=""),"",IF(G64-G63&gt;0.03,"개선",IF(G64-G63&lt;-0.03,"퇴행","차이 없음")))</f>
        <v/>
      </c>
      <c r="O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23" t="str">
        <f>IF(OR(G65="",G64=""),"",IF(G65-G64&gt;0.03,"개선",IF(G65-G64&lt;-0.03,"퇴행","차이 없음")))</f>
        <v/>
      </c>
      <c r="O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23" t="str">
        <f>IF(OR(G66="",G65=""),"",IF(G66-G65&gt;0.03,"개선",IF(G66-G65&lt;-0.03,"퇴행","차이 없음")))</f>
        <v/>
      </c>
      <c r="O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23" t="str">
        <f>IF(OR(G67="",G66=""),"",IF(G67-G66&gt;0.03,"개선",IF(G67-G66&lt;-0.03,"퇴행","차이 없음")))</f>
        <v/>
      </c>
      <c r="O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23" t="str">
        <f>IF(OR(G68="",G67=""),"",IF(G68-G67&gt;0.03,"개선",IF(G68-G67&lt;-0.03,"퇴행","차이 없음")))</f>
        <v/>
      </c>
      <c r="O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23" t="str">
        <f>IF(OR(G69="",G68=""),"",IF(G69-G68&gt;0.03,"개선",IF(G69-G68&lt;-0.03,"퇴행","차이 없음")))</f>
        <v/>
      </c>
      <c r="O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23" t="str">
        <f>IF(OR(G70="",G69=""),"",IF(G70-G69&gt;0.03,"개선",IF(G70-G69&lt;-0.03,"퇴행","차이 없음")))</f>
        <v/>
      </c>
      <c r="O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23" t="str">
        <f>IF(OR(G71="",G70=""),"",IF(G71-G70&gt;0.03,"개선",IF(G71-G70&lt;-0.03,"퇴행","차이 없음")))</f>
        <v/>
      </c>
      <c r="O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23" t="str">
        <f>IF(OR(G72="",G71=""),"",IF(G72-G71&gt;0.03,"개선",IF(G72-G71&lt;-0.03,"퇴행","차이 없음")))</f>
        <v/>
      </c>
      <c r="O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23" t="str">
        <f>IF(OR(G73="",G72=""),"",IF(G73-G72&gt;0.03,"개선",IF(G73-G72&lt;-0.03,"퇴행","차이 없음")))</f>
        <v/>
      </c>
      <c r="O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23" t="str">
        <f>IF(OR(G74="",G73=""),"",IF(G74-G73&gt;0.03,"개선",IF(G74-G73&lt;-0.03,"퇴행","차이 없음")))</f>
        <v/>
      </c>
      <c r="O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23" t="str">
        <f>IF(OR(G75="",G74=""),"",IF(G75-G74&gt;0.03,"개선",IF(G75-G74&lt;-0.03,"퇴행","차이 없음")))</f>
        <v/>
      </c>
      <c r="O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23" t="str">
        <f>IF(OR(G76="",G75=""),"",IF(G76-G75&gt;0.03,"개선",IF(G76-G75&lt;-0.03,"퇴행","차이 없음")))</f>
        <v/>
      </c>
      <c r="O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23" t="str">
        <f>IF(OR(G77="",G76=""),"",IF(G77-G76&gt;0.03,"개선",IF(G77-G76&lt;-0.03,"퇴행","차이 없음")))</f>
        <v/>
      </c>
      <c r="O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23" t="str">
        <f>IF(OR(G78="",G77=""),"",IF(G78-G77&gt;0.03,"개선",IF(G78-G77&lt;-0.03,"퇴행","차이 없음")))</f>
        <v/>
      </c>
      <c r="O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23" t="str">
        <f>IF(OR(G79="",G78=""),"",IF(G79-G78&gt;0.03,"개선",IF(G79-G78&lt;-0.03,"퇴행","차이 없음")))</f>
        <v/>
      </c>
      <c r="O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23" t="str">
        <f>IF(OR(G80="",G79=""),"",IF(G80-G79&gt;0.03,"개선",IF(G80-G79&lt;-0.03,"퇴행","차이 없음")))</f>
        <v/>
      </c>
      <c r="O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23" t="str">
        <f>IF(OR(G81="",G80=""),"",IF(G81-G80&gt;0.03,"개선",IF(G81-G80&lt;-0.03,"퇴행","차이 없음")))</f>
        <v/>
      </c>
      <c r="O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23" t="str">
        <f>IF(OR(G82="",G81=""),"",IF(G82-G81&gt;0.03,"개선",IF(G82-G81&lt;-0.03,"퇴행","차이 없음")))</f>
        <v/>
      </c>
      <c r="O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23" t="str">
        <f>IF(OR(G83="",G82=""),"",IF(G83-G82&gt;0.03,"개선",IF(G83-G82&lt;-0.03,"퇴행","차이 없음")))</f>
        <v/>
      </c>
      <c r="O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23" t="str">
        <f>IF(OR(G84="",G83=""),"",IF(G84-G83&gt;0.03,"개선",IF(G84-G83&lt;-0.03,"퇴행","차이 없음")))</f>
        <v/>
      </c>
      <c r="O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23" t="str">
        <f>IF(OR(G85="",G84=""),"",IF(G85-G84&gt;0.03,"개선",IF(G85-G84&lt;-0.03,"퇴행","차이 없음")))</f>
        <v/>
      </c>
      <c r="O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23" t="str">
        <f>IF(OR(G86="",G85=""),"",IF(G86-G85&gt;0.03,"개선",IF(G86-G85&lt;-0.03,"퇴행","차이 없음")))</f>
        <v/>
      </c>
      <c r="O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23" t="str">
        <f>IF(OR(G87="",G86=""),"",IF(G87-G86&gt;0.03,"개선",IF(G87-G86&lt;-0.03,"퇴행","차이 없음")))</f>
        <v/>
      </c>
      <c r="O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23" t="str">
        <f>IF(OR(G88="",G87=""),"",IF(G88-G87&gt;0.03,"개선",IF(G88-G87&lt;-0.03,"퇴행","차이 없음")))</f>
        <v/>
      </c>
      <c r="O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23" t="str">
        <f>IF(OR(G89="",G88=""),"",IF(G89-G88&gt;0.03,"개선",IF(G89-G88&lt;-0.03,"퇴행","차이 없음")))</f>
        <v/>
      </c>
      <c r="O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23" t="str">
        <f>IF(OR(G90="",G89=""),"",IF(G90-G89&gt;0.03,"개선",IF(G90-G89&lt;-0.03,"퇴행","차이 없음")))</f>
        <v/>
      </c>
      <c r="O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23" t="str">
        <f>IF(OR(G91="",G90=""),"",IF(G91-G90&gt;0.03,"개선",IF(G91-G90&lt;-0.03,"퇴행","차이 없음")))</f>
        <v/>
      </c>
      <c r="O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23" t="str">
        <f>IF(OR(G92="",G91=""),"",IF(G92-G91&gt;0.03,"개선",IF(G92-G91&lt;-0.03,"퇴행","차이 없음")))</f>
        <v/>
      </c>
      <c r="O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23" t="str">
        <f>IF(OR(G93="",G92=""),"",IF(G93-G92&gt;0.03,"개선",IF(G93-G92&lt;-0.03,"퇴행","차이 없음")))</f>
        <v/>
      </c>
      <c r="O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23" t="str">
        <f>IF(OR(G94="",G93=""),"",IF(G94-G93&gt;0.03,"개선",IF(G94-G93&lt;-0.03,"퇴행","차이 없음")))</f>
        <v/>
      </c>
      <c r="O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23" t="str">
        <f>IF(OR(G95="",G94=""),"",IF(G95-G94&gt;0.03,"개선",IF(G95-G94&lt;-0.03,"퇴행","차이 없음")))</f>
        <v/>
      </c>
      <c r="O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23" t="str">
        <f>IF(OR(G96="",G95=""),"",IF(G96-G95&gt;0.03,"개선",IF(G96-G95&lt;-0.03,"퇴행","차이 없음")))</f>
        <v/>
      </c>
      <c r="O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23" t="str">
        <f>IF(OR(G97="",G96=""),"",IF(G97-G96&gt;0.03,"개선",IF(G97-G96&lt;-0.03,"퇴행","차이 없음")))</f>
        <v/>
      </c>
      <c r="O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23" t="str">
        <f>IF(OR(G98="",G97=""),"",IF(G98-G97&gt;0.03,"개선",IF(G98-G97&lt;-0.03,"퇴행","차이 없음")))</f>
        <v/>
      </c>
      <c r="O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23" t="str">
        <f>IF(OR(G99="",G98=""),"",IF(G99-G98&gt;0.03,"개선",IF(G99-G98&lt;-0.03,"퇴행","차이 없음")))</f>
        <v/>
      </c>
      <c r="O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23" t="str">
        <f>IF(OR(G100="",G99=""),"",IF(G100-G99&gt;0.03,"개선",IF(G100-G99&lt;-0.03,"퇴행","차이 없음")))</f>
        <v/>
      </c>
      <c r="O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23" t="str">
        <f>IF(OR(G101="",G100=""),"",IF(G101-G100&gt;0.03,"개선",IF(G101-G100&lt;-0.03,"퇴행","차이 없음")))</f>
        <v/>
      </c>
      <c r="O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23" t="str">
        <f>IF(OR(G102="",G101=""),"",IF(G102-G101&gt;0.03,"개선",IF(G102-G101&lt;-0.03,"퇴행","차이 없음")))</f>
        <v/>
      </c>
      <c r="O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23" t="str">
        <f>IF(OR(G103="",G102=""),"",IF(G103-G102&gt;0.03,"개선",IF(G103-G102&lt;-0.03,"퇴행","차이 없음")))</f>
        <v/>
      </c>
      <c r="O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23" t="str">
        <f>IF(OR(G104="",G103=""),"",IF(G104-G103&gt;0.03,"개선",IF(G104-G103&lt;-0.03,"퇴행","차이 없음")))</f>
        <v/>
      </c>
      <c r="O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23" t="str">
        <f>IF(OR(G105="",G104=""),"",IF(G105-G104&gt;0.03,"개선",IF(G105-G104&lt;-0.03,"퇴행","차이 없음")))</f>
        <v/>
      </c>
      <c r="O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23" t="str">
        <f>IF(OR(G106="",G105=""),"",IF(G106-G105&gt;0.03,"개선",IF(G106-G105&lt;-0.03,"퇴행","차이 없음")))</f>
        <v/>
      </c>
      <c r="O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23" t="str">
        <f>IF(OR(G107="",G106=""),"",IF(G107-G106&gt;0.03,"개선",IF(G107-G106&lt;-0.03,"퇴행","차이 없음")))</f>
        <v/>
      </c>
      <c r="O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23" t="str">
        <f>IF(OR(G108="",G107=""),"",IF(G108-G107&gt;0.03,"개선",IF(G108-G107&lt;-0.03,"퇴행","차이 없음")))</f>
        <v/>
      </c>
      <c r="O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23" t="str">
        <f>IF(OR(G109="",G108=""),"",IF(G109-G108&gt;0.03,"개선",IF(G109-G108&lt;-0.03,"퇴행","차이 없음")))</f>
        <v/>
      </c>
      <c r="O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23" t="str">
        <f>IF(OR(G110="",G109=""),"",IF(G110-G109&gt;0.03,"개선",IF(G110-G109&lt;-0.03,"퇴행","차이 없음")))</f>
        <v/>
      </c>
      <c r="O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23" t="str">
        <f>IF(OR(G111="",G110=""),"",IF(G111-G110&gt;0.03,"개선",IF(G111-G110&lt;-0.03,"퇴행","차이 없음")))</f>
        <v/>
      </c>
      <c r="O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23" t="str">
        <f>IF(OR(G112="",G111=""),"",IF(G112-G111&gt;0.03,"개선",IF(G112-G111&lt;-0.03,"퇴행","차이 없음")))</f>
        <v/>
      </c>
      <c r="O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23" t="str">
        <f>IF(OR(G113="",G112=""),"",IF(G113-G112&gt;0.03,"개선",IF(G113-G112&lt;-0.03,"퇴행","차이 없음")))</f>
        <v/>
      </c>
      <c r="O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23" t="str">
        <f>IF(OR(G114="",G113=""),"",IF(G114-G113&gt;0.03,"개선",IF(G114-G113&lt;-0.03,"퇴행","차이 없음")))</f>
        <v/>
      </c>
      <c r="O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23" t="str">
        <f>IF(OR(G115="",G114=""),"",IF(G115-G114&gt;0.03,"개선",IF(G115-G114&lt;-0.03,"퇴행","차이 없음")))</f>
        <v/>
      </c>
      <c r="O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23" t="str">
        <f>IF(OR(G116="",G115=""),"",IF(G116-G115&gt;0.03,"개선",IF(G116-G115&lt;-0.03,"퇴행","차이 없음")))</f>
        <v/>
      </c>
      <c r="O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23" t="str">
        <f>IF(OR(G117="",G116=""),"",IF(G117-G116&gt;0.03,"개선",IF(G117-G116&lt;-0.03,"퇴행","차이 없음")))</f>
        <v/>
      </c>
      <c r="O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23" t="str">
        <f>IF(OR(G118="",G117=""),"",IF(G118-G117&gt;0.03,"개선",IF(G118-G117&lt;-0.03,"퇴행","차이 없음")))</f>
        <v/>
      </c>
      <c r="O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23" t="str">
        <f>IF(OR(G119="",G118=""),"",IF(G119-G118&gt;0.03,"개선",IF(G119-G118&lt;-0.03,"퇴행","차이 없음")))</f>
        <v/>
      </c>
      <c r="O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23" t="str">
        <f>IF(OR(G120="",G119=""),"",IF(G120-G119&gt;0.03,"개선",IF(G120-G119&lt;-0.03,"퇴행","차이 없음")))</f>
        <v/>
      </c>
      <c r="O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23" t="str">
        <f>IF(OR(G121="",G120=""),"",IF(G121-G120&gt;0.03,"개선",IF(G121-G120&lt;-0.03,"퇴행","차이 없음")))</f>
        <v/>
      </c>
      <c r="O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23" t="str">
        <f>IF(OR(G122="",G121=""),"",IF(G122-G121&gt;0.03,"개선",IF(G122-G121&lt;-0.03,"퇴행","차이 없음")))</f>
        <v/>
      </c>
      <c r="O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23" t="str">
        <f>IF(OR(G123="",G122=""),"",IF(G123-G122&gt;0.03,"개선",IF(G123-G122&lt;-0.03,"퇴행","차이 없음")))</f>
        <v/>
      </c>
      <c r="O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23" t="str">
        <f>IF(OR(G124="",G123=""),"",IF(G124-G123&gt;0.03,"개선",IF(G124-G123&lt;-0.03,"퇴행","차이 없음")))</f>
        <v/>
      </c>
      <c r="O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23" t="str">
        <f>IF(OR(G125="",G124=""),"",IF(G125-G124&gt;0.03,"개선",IF(G125-G124&lt;-0.03,"퇴행","차이 없음")))</f>
        <v/>
      </c>
      <c r="O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23" t="str">
        <f>IF(OR(G126="",G125=""),"",IF(G126-G125&gt;0.03,"개선",IF(G126-G125&lt;-0.03,"퇴행","차이 없음")))</f>
        <v/>
      </c>
      <c r="O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23" t="str">
        <f>IF(OR(G127="",G126=""),"",IF(G127-G126&gt;0.03,"개선",IF(G127-G126&lt;-0.03,"퇴행","차이 없음")))</f>
        <v/>
      </c>
      <c r="O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23" t="str">
        <f>IF(OR(G128="",G127=""),"",IF(G128-G127&gt;0.03,"개선",IF(G128-G127&lt;-0.03,"퇴행","차이 없음")))</f>
        <v/>
      </c>
      <c r="O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23" t="str">
        <f>IF(OR(G129="",G128=""),"",IF(G129-G128&gt;0.03,"개선",IF(G129-G128&lt;-0.03,"퇴행","차이 없음")))</f>
        <v/>
      </c>
      <c r="O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23" t="str">
        <f>IF(OR(G130="",G129=""),"",IF(G130-G129&gt;0.03,"개선",IF(G130-G129&lt;-0.03,"퇴행","차이 없음")))</f>
        <v/>
      </c>
      <c r="O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23" t="str">
        <f>IF(OR(G131="",G130=""),"",IF(G131-G130&gt;0.03,"개선",IF(G131-G130&lt;-0.03,"퇴행","차이 없음")))</f>
        <v/>
      </c>
      <c r="O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23" t="str">
        <f>IF(OR(G132="",G131=""),"",IF(G132-G131&gt;0.03,"개선",IF(G132-G131&lt;-0.03,"퇴행","차이 없음")))</f>
        <v/>
      </c>
      <c r="O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23" t="str">
        <f>IF(OR(G133="",G132=""),"",IF(G133-G132&gt;0.03,"개선",IF(G133-G132&lt;-0.03,"퇴행","차이 없음")))</f>
        <v/>
      </c>
      <c r="O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23" t="str">
        <f>IF(OR(G134="",G133=""),"",IF(G134-G133&gt;0.03,"개선",IF(G134-G133&lt;-0.03,"퇴행","차이 없음")))</f>
        <v/>
      </c>
      <c r="O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23" t="str">
        <f>IF(OR(G135="",G134=""),"",IF(G135-G134&gt;0.03,"개선",IF(G135-G134&lt;-0.03,"퇴행","차이 없음")))</f>
        <v/>
      </c>
      <c r="O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23" t="str">
        <f>IF(OR(G136="",G135=""),"",IF(G136-G135&gt;0.03,"개선",IF(G136-G135&lt;-0.03,"퇴행","차이 없음")))</f>
        <v/>
      </c>
      <c r="O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23" t="str">
        <f>IF(OR(G137="",G136=""),"",IF(G137-G136&gt;0.03,"개선",IF(G137-G136&lt;-0.03,"퇴행","차이 없음")))</f>
        <v/>
      </c>
      <c r="O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23" t="str">
        <f>IF(OR(G138="",G137=""),"",IF(G138-G137&gt;0.03,"개선",IF(G138-G137&lt;-0.03,"퇴행","차이 없음")))</f>
        <v/>
      </c>
      <c r="O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23" t="str">
        <f>IF(OR(G139="",G138=""),"",IF(G139-G138&gt;0.03,"개선",IF(G139-G138&lt;-0.03,"퇴행","차이 없음")))</f>
        <v/>
      </c>
      <c r="O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23" t="str">
        <f>IF(OR(G140="",G139=""),"",IF(G140-G139&gt;0.03,"개선",IF(G140-G139&lt;-0.03,"퇴행","차이 없음")))</f>
        <v/>
      </c>
      <c r="O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23" t="str">
        <f>IF(OR(G141="",G140=""),"",IF(G141-G140&gt;0.03,"개선",IF(G141-G140&lt;-0.03,"퇴행","차이 없음")))</f>
        <v/>
      </c>
      <c r="O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23" t="str">
        <f>IF(OR(G142="",G141=""),"",IF(G142-G141&gt;0.03,"개선",IF(G142-G141&lt;-0.03,"퇴행","차이 없음")))</f>
        <v/>
      </c>
      <c r="O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23" t="str">
        <f>IF(OR(G143="",G142=""),"",IF(G143-G142&gt;0.03,"개선",IF(G143-G142&lt;-0.03,"퇴행","차이 없음")))</f>
        <v/>
      </c>
      <c r="O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23" t="str">
        <f>IF(OR(G144="",G143=""),"",IF(G144-G143&gt;0.03,"개선",IF(G144-G143&lt;-0.03,"퇴행","차이 없음")))</f>
        <v/>
      </c>
      <c r="O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23" t="str">
        <f>IF(OR(G145="",G144=""),"",IF(G145-G144&gt;0.03,"개선",IF(G145-G144&lt;-0.03,"퇴행","차이 없음")))</f>
        <v/>
      </c>
      <c r="O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23" t="str">
        <f>IF(OR(G146="",G145=""),"",IF(G146-G145&gt;0.03,"개선",IF(G146-G145&lt;-0.03,"퇴행","차이 없음")))</f>
        <v/>
      </c>
      <c r="O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23" t="str">
        <f>IF(OR(G147="",G146=""),"",IF(G147-G146&gt;0.03,"개선",IF(G147-G146&lt;-0.03,"퇴행","차이 없음")))</f>
        <v/>
      </c>
      <c r="O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23" t="str">
        <f>IF(OR(G148="",G147=""),"",IF(G148-G147&gt;0.03,"개선",IF(G148-G147&lt;-0.03,"퇴행","차이 없음")))</f>
        <v/>
      </c>
      <c r="O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23" t="str">
        <f>IF(OR(G149="",G148=""),"",IF(G149-G148&gt;0.03,"개선",IF(G149-G148&lt;-0.03,"퇴행","차이 없음")))</f>
        <v/>
      </c>
      <c r="O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23" t="str">
        <f>IF(OR(G150="",G149=""),"",IF(G150-G149&gt;0.03,"개선",IF(G150-G149&lt;-0.03,"퇴행","차이 없음")))</f>
        <v/>
      </c>
      <c r="O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23" t="str">
        <f>IF(OR(G151="",G150=""),"",IF(G151-G150&gt;0.03,"개선",IF(G151-G150&lt;-0.03,"퇴행","차이 없음")))</f>
        <v/>
      </c>
      <c r="O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23" t="str">
        <f>IF(OR(G152="",G151=""),"",IF(G152-G151&gt;0.03,"개선",IF(G152-G151&lt;-0.03,"퇴행","차이 없음")))</f>
        <v/>
      </c>
      <c r="O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23" t="str">
        <f>IF(OR(G153="",G152=""),"",IF(G153-G152&gt;0.03,"개선",IF(G153-G152&lt;-0.03,"퇴행","차이 없음")))</f>
        <v/>
      </c>
      <c r="O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23" t="str">
        <f>IF(OR(G154="",G153=""),"",IF(G154-G153&gt;0.03,"개선",IF(G154-G153&lt;-0.03,"퇴행","차이 없음")))</f>
        <v/>
      </c>
      <c r="O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23" t="str">
        <f>IF(OR(G155="",G154=""),"",IF(G155-G154&gt;0.03,"개선",IF(G155-G154&lt;-0.03,"퇴행","차이 없음")))</f>
        <v/>
      </c>
      <c r="O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23" t="str">
        <f>IF(OR(G156="",G155=""),"",IF(G156-G155&gt;0.03,"개선",IF(G156-G155&lt;-0.03,"퇴행","차이 없음")))</f>
        <v/>
      </c>
      <c r="O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23" t="str">
        <f>IF(OR(G157="",G156=""),"",IF(G157-G156&gt;0.03,"개선",IF(G157-G156&lt;-0.03,"퇴행","차이 없음")))</f>
        <v/>
      </c>
      <c r="O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23" t="str">
        <f>IF(OR(G158="",G157=""),"",IF(G158-G157&gt;0.03,"개선",IF(G158-G157&lt;-0.03,"퇴행","차이 없음")))</f>
        <v/>
      </c>
      <c r="O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23" t="str">
        <f>IF(OR(G159="",G158=""),"",IF(G159-G158&gt;0.03,"개선",IF(G159-G158&lt;-0.03,"퇴행","차이 없음")))</f>
        <v/>
      </c>
      <c r="O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23" t="str">
        <f>IF(OR(G160="",G159=""),"",IF(G160-G159&gt;0.03,"개선",IF(G160-G159&lt;-0.03,"퇴행","차이 없음")))</f>
        <v/>
      </c>
      <c r="O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23" t="str">
        <f>IF(OR(G161="",G160=""),"",IF(G161-G160&gt;0.03,"개선",IF(G161-G160&lt;-0.03,"퇴행","차이 없음")))</f>
        <v/>
      </c>
      <c r="O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23" t="str">
        <f>IF(OR(G162="",G161=""),"",IF(G162-G161&gt;0.03,"개선",IF(G162-G161&lt;-0.03,"퇴행","차이 없음")))</f>
        <v/>
      </c>
      <c r="O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23" t="str">
        <f>IF(OR(G163="",G162=""),"",IF(G163-G162&gt;0.03,"개선",IF(G163-G162&lt;-0.03,"퇴행","차이 없음")))</f>
        <v/>
      </c>
      <c r="O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23" t="str">
        <f>IF(OR(G164="",G163=""),"",IF(G164-G163&gt;0.03,"개선",IF(G164-G163&lt;-0.03,"퇴행","차이 없음")))</f>
        <v/>
      </c>
      <c r="O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23" t="str">
        <f>IF(OR(G165="",G164=""),"",IF(G165-G164&gt;0.03,"개선",IF(G165-G164&lt;-0.03,"퇴행","차이 없음")))</f>
        <v/>
      </c>
      <c r="O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23" t="str">
        <f>IF(OR(G166="",G165=""),"",IF(G166-G165&gt;0.03,"개선",IF(G166-G165&lt;-0.03,"퇴행","차이 없음")))</f>
        <v/>
      </c>
      <c r="O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23" t="str">
        <f>IF(OR(G167="",G166=""),"",IF(G167-G166&gt;0.03,"개선",IF(G167-G166&lt;-0.03,"퇴행","차이 없음")))</f>
        <v/>
      </c>
      <c r="O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23" t="str">
        <f>IF(OR(G168="",G167=""),"",IF(G168-G167&gt;0.03,"개선",IF(G168-G167&lt;-0.03,"퇴행","차이 없음")))</f>
        <v/>
      </c>
      <c r="O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23" t="str">
        <f>IF(OR(G169="",G168=""),"",IF(G169-G168&gt;0.03,"개선",IF(G169-G168&lt;-0.03,"퇴행","차이 없음")))</f>
        <v/>
      </c>
      <c r="O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23" t="str">
        <f>IF(OR(G170="",G169=""),"",IF(G170-G169&gt;0.03,"개선",IF(G170-G169&lt;-0.03,"퇴행","차이 없음")))</f>
        <v/>
      </c>
      <c r="O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23" t="str">
        <f>IF(OR(G171="",G170=""),"",IF(G171-G170&gt;0.03,"개선",IF(G171-G170&lt;-0.03,"퇴행","차이 없음")))</f>
        <v/>
      </c>
      <c r="O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23" t="str">
        <f>IF(OR(G172="",G171=""),"",IF(G172-G171&gt;0.03,"개선",IF(G172-G171&lt;-0.03,"퇴행","차이 없음")))</f>
        <v/>
      </c>
      <c r="O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23" t="str">
        <f>IF(OR(G173="",G172=""),"",IF(G173-G172&gt;0.03,"개선",IF(G173-G172&lt;-0.03,"퇴행","차이 없음")))</f>
        <v/>
      </c>
      <c r="O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23" t="str">
        <f>IF(OR(G174="",G173=""),"",IF(G174-G173&gt;0.03,"개선",IF(G174-G173&lt;-0.03,"퇴행","차이 없음")))</f>
        <v/>
      </c>
      <c r="O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23" t="str">
        <f>IF(OR(G175="",G174=""),"",IF(G175-G174&gt;0.03,"개선",IF(G175-G174&lt;-0.03,"퇴행","차이 없음")))</f>
        <v/>
      </c>
      <c r="O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23" t="str">
        <f>IF(OR(G176="",G175=""),"",IF(G176-G175&gt;0.03,"개선",IF(G176-G175&lt;-0.03,"퇴행","차이 없음")))</f>
        <v/>
      </c>
      <c r="O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23" t="str">
        <f>IF(OR(G177="",G176=""),"",IF(G177-G176&gt;0.03,"개선",IF(G177-G176&lt;-0.03,"퇴행","차이 없음")))</f>
        <v/>
      </c>
      <c r="O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23" t="str">
        <f>IF(OR(G178="",G177=""),"",IF(G178-G177&gt;0.03,"개선",IF(G178-G177&lt;-0.03,"퇴행","차이 없음")))</f>
        <v/>
      </c>
      <c r="O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23" t="str">
        <f>IF(OR(G179="",G178=""),"",IF(G179-G178&gt;0.03,"개선",IF(G179-G178&lt;-0.03,"퇴행","차이 없음")))</f>
        <v/>
      </c>
      <c r="O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23" t="str">
        <f>IF(OR(G180="",G179=""),"",IF(G180-G179&gt;0.03,"개선",IF(G180-G179&lt;-0.03,"퇴행","차이 없음")))</f>
        <v/>
      </c>
      <c r="O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23" t="str">
        <f>IF(OR(G181="",G180=""),"",IF(G181-G180&gt;0.03,"개선",IF(G181-G180&lt;-0.03,"퇴행","차이 없음")))</f>
        <v/>
      </c>
      <c r="O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23" t="str">
        <f>IF(OR(G182="",G181=""),"",IF(G182-G181&gt;0.03,"개선",IF(G182-G181&lt;-0.03,"퇴행","차이 없음")))</f>
        <v/>
      </c>
      <c r="O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23" t="str">
        <f>IF(OR(G183="",G182=""),"",IF(G183-G182&gt;0.03,"개선",IF(G183-G182&lt;-0.03,"퇴행","차이 없음")))</f>
        <v/>
      </c>
      <c r="O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23" t="str">
        <f>IF(OR(G184="",G183=""),"",IF(G184-G183&gt;0.03,"개선",IF(G184-G183&lt;-0.03,"퇴행","차이 없음")))</f>
        <v/>
      </c>
      <c r="O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23" t="str">
        <f>IF(OR(G185="",G184=""),"",IF(G185-G184&gt;0.03,"개선",IF(G185-G184&lt;-0.03,"퇴행","차이 없음")))</f>
        <v/>
      </c>
      <c r="O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23" t="str">
        <f>IF(OR(G186="",G185=""),"",IF(G186-G185&gt;0.03,"개선",IF(G186-G185&lt;-0.03,"퇴행","차이 없음")))</f>
        <v/>
      </c>
      <c r="O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23" t="str">
        <f>IF(OR(G187="",G186=""),"",IF(G187-G186&gt;0.03,"개선",IF(G187-G186&lt;-0.03,"퇴행","차이 없음")))</f>
        <v/>
      </c>
      <c r="O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23" t="str">
        <f>IF(OR(G188="",G187=""),"",IF(G188-G187&gt;0.03,"개선",IF(G188-G187&lt;-0.03,"퇴행","차이 없음")))</f>
        <v/>
      </c>
      <c r="O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23" t="str">
        <f>IF(OR(G189="",G188=""),"",IF(G189-G188&gt;0.03,"개선",IF(G189-G188&lt;-0.03,"퇴행","차이 없음")))</f>
        <v/>
      </c>
      <c r="O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23" t="str">
        <f>IF(OR(G190="",G189=""),"",IF(G190-G189&gt;0.03,"개선",IF(G190-G189&lt;-0.03,"퇴행","차이 없음")))</f>
        <v/>
      </c>
      <c r="O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23" t="str">
        <f>IF(OR(G191="",G190=""),"",IF(G191-G190&gt;0.03,"개선",IF(G191-G190&lt;-0.03,"퇴행","차이 없음")))</f>
        <v/>
      </c>
      <c r="O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23" t="str">
        <f>IF(OR(G192="",G191=""),"",IF(G192-G191&gt;0.03,"개선",IF(G192-G191&lt;-0.03,"퇴행","차이 없음")))</f>
        <v/>
      </c>
      <c r="O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23" t="str">
        <f>IF(OR(G193="",G192=""),"",IF(G193-G192&gt;0.03,"개선",IF(G193-G192&lt;-0.03,"퇴행","차이 없음")))</f>
        <v/>
      </c>
      <c r="O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23" t="str">
        <f>IF(OR(G194="",G193=""),"",IF(G194-G193&gt;0.03,"개선",IF(G194-G193&lt;-0.03,"퇴행","차이 없음")))</f>
        <v/>
      </c>
      <c r="O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23" t="str">
        <f>IF(OR(G195="",G194=""),"",IF(G195-G194&gt;0.03,"개선",IF(G195-G194&lt;-0.03,"퇴행","차이 없음")))</f>
        <v/>
      </c>
      <c r="O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23" t="str">
        <f>IF(OR(G196="",G195=""),"",IF(G196-G195&gt;0.03,"개선",IF(G196-G195&lt;-0.03,"퇴행","차이 없음")))</f>
        <v/>
      </c>
      <c r="O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23" t="str">
        <f>IF(OR(G197="",G196=""),"",IF(G197-G196&gt;0.03,"개선",IF(G197-G196&lt;-0.03,"퇴행","차이 없음")))</f>
        <v/>
      </c>
      <c r="O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23" t="str">
        <f>IF(OR(G198="",G197=""),"",IF(G198-G197&gt;0.03,"개선",IF(G198-G197&lt;-0.03,"퇴행","차이 없음")))</f>
        <v/>
      </c>
      <c r="O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23" t="str">
        <f>IF(OR(G199="",G198=""),"",IF(G199-G198&gt;0.03,"개선",IF(G199-G198&lt;-0.03,"퇴행","차이 없음")))</f>
        <v/>
      </c>
      <c r="O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23" t="str">
        <f>IF(OR(G200="",G199=""),"",IF(G200-G199&gt;0.03,"개선",IF(G200-G199&lt;-0.03,"퇴행","차이 없음")))</f>
        <v/>
      </c>
      <c r="O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23" t="str">
        <f>IF(OR(G201="",G200=""),"",IF(G201-G200&gt;0.03,"개선",IF(G201-G200&lt;-0.03,"퇴행","차이 없음")))</f>
        <v/>
      </c>
      <c r="O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23" t="str">
        <f>IF(OR(G202="",G201=""),"",IF(G202-G201&gt;0.03,"개선",IF(G202-G201&lt;-0.03,"퇴행","차이 없음")))</f>
        <v/>
      </c>
      <c r="O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23" t="str">
        <f>IF(OR(G203="",G202=""),"",IF(G203-G202&gt;0.03,"개선",IF(G203-G202&lt;-0.03,"퇴행","차이 없음")))</f>
        <v/>
      </c>
      <c r="O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23" t="str">
        <f>IF(OR(G204="",G203=""),"",IF(G204-G203&gt;0.03,"개선",IF(G204-G203&lt;-0.03,"퇴행","차이 없음")))</f>
        <v/>
      </c>
      <c r="O204" s="12" t="n"/>
    </row>
    <row r="206">
      <c r="A206" s="8" t="inlineStr">
        <is>
          <t>집계</t>
        </is>
      </c>
    </row>
    <row r="207">
      <c r="A207" s="13" t="inlineStr">
        <is>
          <t>기록 회차</t>
        </is>
      </c>
      <c r="B207" s="14">
        <f>COUNTIF(A5:A204,"&lt;&gt;")</f>
        <v>0</v>
      </c>
    </row>
    <row r="208">
      <c r="A208" s="13" t="inlineStr">
        <is>
          <t>최고 Recall@5</t>
        </is>
      </c>
      <c r="B208" s="25">
        <f>IFERROR(MAX(G5:G204),"")</f>
        <v>0</v>
      </c>
    </row>
    <row r="209">
      <c r="A209" s="13" t="inlineStr">
        <is>
          <t>최고 Faithfulness</t>
        </is>
      </c>
      <c r="B209" s="25">
        <f>IFERROR(MAX(I5:I204),"")</f>
        <v>0</v>
      </c>
    </row>
    <row r="210">
      <c r="A210" s="13" t="inlineStr">
        <is>
          <t>개선 회차</t>
        </is>
      </c>
      <c r="B210" s="14">
        <f>COUNTIF(N5:N204,"개선")</f>
        <v>0</v>
      </c>
    </row>
    <row r="211">
      <c r="A211" s="13" t="inlineStr">
        <is>
          <t>퇴행 회차</t>
        </is>
      </c>
      <c r="B211" s="14">
        <f>COUNTIF(N5:N204,"퇴행")</f>
        <v>0</v>
      </c>
    </row>
  </sheetData>
  <autoFilter ref="A4:O204"/>
  <mergeCells count="2">
    <mergeCell ref="A1:O1"/>
    <mergeCell ref="A2:O2"/>
  </mergeCells>
  <dataValidations count="1">
    <dataValidation sqref="F5:F204" showDropDown="0" showInputMessage="0" showErrorMessage="0" allowBlank="1" type="list">
      <formula1>"v0_baseline,v1_hybrid,v2_rerank,v3_mmr,v4_decompose,v5_grade,v6_verify"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3" customWidth="1" min="4" max="4"/>
    <col width="16" customWidth="1" min="5" max="5"/>
    <col width="18" customWidth="1" min="6" max="6"/>
    <col width="9" customWidth="1" min="7" max="7"/>
    <col width="11" customWidth="1" min="8" max="8"/>
    <col width="8" customWidth="1" min="9" max="9"/>
    <col width="8" customWidth="1" min="10" max="10"/>
    <col width="9" customWidth="1" min="11" max="11"/>
    <col width="14" customWidth="1" min="12" max="12"/>
    <col width="8" customWidth="1" min="13" max="13"/>
  </cols>
  <sheetData>
    <row r="1">
      <c r="A1" s="11" t="inlineStr">
        <is>
          <t>6. 프리셋 비교 — 노드 구성별 성능</t>
        </is>
      </c>
    </row>
    <row r="2">
      <c r="A2" s="2" t="inlineStr">
        <is>
          <t>nb13_langgraph_rag 출력(out/nb13_preset_summary_*.csv) 붙여넣기 · 기준 = v0_baseline</t>
        </is>
      </c>
    </row>
    <row r="4">
      <c r="A4" s="3" t="inlineStr">
        <is>
          <t>프리셋</t>
        </is>
      </c>
      <c r="B4" s="3" t="inlineStr">
        <is>
          <t>구성</t>
        </is>
      </c>
      <c r="C4" s="3" t="inlineStr">
        <is>
          <t>Recall@5</t>
        </is>
      </c>
      <c r="D4" s="3" t="inlineStr">
        <is>
          <t>Faithfulness</t>
        </is>
      </c>
      <c r="E4" s="3" t="inlineStr">
        <is>
          <t>Answer Relevancy</t>
        </is>
      </c>
      <c r="F4" s="3" t="inlineStr">
        <is>
          <t>Answer Correctness</t>
        </is>
      </c>
      <c r="G4" s="3" t="inlineStr">
        <is>
          <t>Citation</t>
        </is>
      </c>
      <c r="H4" s="3" t="inlineStr">
        <is>
          <t>거절 정확도</t>
        </is>
      </c>
      <c r="I4" s="3" t="inlineStr">
        <is>
          <t>재검색</t>
        </is>
      </c>
      <c r="J4" s="3" t="inlineStr">
        <is>
          <t>재생성</t>
        </is>
      </c>
      <c r="K4" s="3" t="inlineStr">
        <is>
          <t>평균 초</t>
        </is>
      </c>
      <c r="L4" s="3" t="inlineStr">
        <is>
          <t>기준 대비 증감</t>
        </is>
      </c>
      <c r="M4" s="3" t="inlineStr">
        <is>
          <t>채택</t>
        </is>
      </c>
    </row>
    <row r="5">
      <c r="A5" s="5" t="inlineStr">
        <is>
          <t>v0_baseline</t>
        </is>
      </c>
      <c r="B5" s="6" t="inlineStr">
        <is>
          <t>BM25 단독 — 기준선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26" t="str">
        <f>IF(OR(C5="",$C$5=""),"",ROUND(C5-$C$5,3))</f>
        <v/>
      </c>
      <c r="M5" s="12" t="inlineStr"/>
    </row>
    <row r="6">
      <c r="A6" s="5" t="inlineStr">
        <is>
          <t>v1_hybrid</t>
        </is>
      </c>
      <c r="B6" s="6" t="inlineStr">
        <is>
          <t>BM25 + 시맨틱 하이브리드(RRF 결합)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26" t="str">
        <f>IF(OR(C6="",$C$5=""),"",ROUND(C6-$C$5,3))</f>
        <v/>
      </c>
      <c r="M6" s="12" t="inlineStr"/>
    </row>
    <row r="7">
      <c r="A7" s="5" t="inlineStr">
        <is>
          <t>v2_rerank</t>
        </is>
      </c>
      <c r="B7" s="6" t="inlineStr">
        <is>
          <t>하이브리드 + 크로스인코더 리랭크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26" t="str">
        <f>IF(OR(C7="",$C$5=""),"",ROUND(C7-$C$5,3))</f>
        <v/>
      </c>
      <c r="M7" s="12" t="inlineStr"/>
    </row>
    <row r="8">
      <c r="A8" s="5" t="inlineStr">
        <is>
          <t>v3_mmr</t>
        </is>
      </c>
      <c r="B8" s="6" t="inlineStr">
        <is>
          <t>리랭크 + MMR 다양성 · 문서당 상한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26" t="str">
        <f>IF(OR(C8="",$C$5=""),"",ROUND(C8-$C$5,3))</f>
        <v/>
      </c>
      <c r="M8" s="12" t="inlineStr"/>
    </row>
    <row r="9">
      <c r="A9" s="5" t="inlineStr">
        <is>
          <t>v4_decompose</t>
        </is>
      </c>
      <c r="B9" s="6" t="inlineStr">
        <is>
          <t>질의 분해(복합 질문 → 하위 질의) 추가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26" t="str">
        <f>IF(OR(C9="",$C$5=""),"",ROUND(C9-$C$5,3))</f>
        <v/>
      </c>
      <c r="M9" s="12" t="inlineStr"/>
    </row>
    <row r="10">
      <c r="A10" s="5" t="inlineStr">
        <is>
          <t>v5_grade</t>
        </is>
      </c>
      <c r="B10" s="6" t="inlineStr">
        <is>
          <t>문단 적합성 판정 + 근거 없을 때 질의 재작성 · 재검색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26" t="str">
        <f>IF(OR(C10="",$C$5=""),"",ROUND(C10-$C$5,3))</f>
        <v/>
      </c>
      <c r="M10" s="12" t="inlineStr"/>
    </row>
    <row r="11">
      <c r="A11" s="5" t="inlineStr">
        <is>
          <t>v6_verify</t>
        </is>
      </c>
      <c r="B11" s="6" t="inlineStr">
        <is>
          <t>답변 환각 점검 → 미달 시 재생성 · 근거 불충분 시 보류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26" t="str">
        <f>IF(OR(C11="",$C$5=""),"",ROUND(C11-$C$5,3))</f>
        <v/>
      </c>
      <c r="M11" s="12" t="inlineStr"/>
    </row>
    <row r="13">
      <c r="A13" s="27" t="inlineStr">
        <is>
          <t>측정 조건 고정: 같은 골든셋 · 같은 코퍼스 버전 · temperature 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0" t="n"/>
    </row>
    <row r="14">
      <c r="A14" s="27" t="inlineStr">
        <is>
          <t>지연이 크게 늘면(평균 초) 노드 이득과 비교 후 채택 결정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10" t="n"/>
    </row>
    <row r="15">
      <c r="A15" s="27" t="inlineStr">
        <is>
          <t>채택 프리셋은 lab_graph.DEFAULT 에 반영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10" t="n"/>
    </row>
  </sheetData>
  <autoFilter ref="A4:M5"/>
  <mergeCells count="5">
    <mergeCell ref="A13:M13"/>
    <mergeCell ref="A14:M14"/>
    <mergeCell ref="A1:M1"/>
    <mergeCell ref="A15:M15"/>
    <mergeCell ref="A2:M2"/>
  </mergeCells>
  <dataValidations count="1">
    <dataValidation sqref="M5:M11" showDropDown="0" showInputMessage="0" showErrorMessage="0" allowBlank="1" type="list">
      <formula1>"운영 적용,후보,미채택"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42" customWidth="1" min="3" max="3"/>
    <col width="13" customWidth="1" min="4" max="4"/>
    <col width="23" customWidth="1" min="5" max="5"/>
    <col width="17" customWidth="1" min="6" max="6"/>
    <col width="10" customWidth="1" min="7" max="7"/>
    <col width="10" customWidth="1" min="8" max="8"/>
    <col width="9" customWidth="1" min="9" max="9"/>
    <col width="26" customWidth="1" min="10" max="10"/>
  </cols>
  <sheetData>
    <row r="1">
      <c r="A1" s="11" t="inlineStr">
        <is>
          <t>7. 표준 지표 현황</t>
        </is>
      </c>
    </row>
    <row r="2">
      <c r="A2" s="2" t="inlineStr">
        <is>
          <t>검색(IR) · 생성(RAGAS 계열) · 운영 16종 · G~H · J 열 기입 (nb06 · nb10 · nb13 결과)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정의</t>
        </is>
      </c>
      <c r="D4" s="3" t="inlineStr">
        <is>
          <t>계산 방식</t>
        </is>
      </c>
      <c r="E4" s="3" t="inlineStr">
        <is>
          <t>합격 기준</t>
        </is>
      </c>
      <c r="F4" s="3" t="inlineStr">
        <is>
          <t>대응 단계</t>
        </is>
      </c>
      <c r="G4" s="3" t="inlineStr">
        <is>
          <t>1차 측정</t>
        </is>
      </c>
      <c r="H4" s="3" t="inlineStr">
        <is>
          <t>최근 측정</t>
        </is>
      </c>
      <c r="I4" s="3" t="inlineStr">
        <is>
          <t>판정</t>
        </is>
      </c>
      <c r="J4" s="3" t="inlineStr">
        <is>
          <t>비고</t>
        </is>
      </c>
    </row>
    <row r="5">
      <c r="A5" s="4" t="inlineStr">
        <is>
          <t>검색</t>
        </is>
      </c>
      <c r="B5" s="5" t="inlineStr">
        <is>
          <t>Recall@k</t>
        </is>
      </c>
      <c r="C5" s="6" t="inlineStr">
        <is>
          <t>정답 문서가 상위 k 에 포함된 문항 비율</t>
        </is>
      </c>
      <c r="D5" s="4" t="inlineStr">
        <is>
          <t>auto</t>
        </is>
      </c>
      <c r="E5" s="6" t="inlineStr">
        <is>
          <t>R@5 ≥ 0.80 · R@10 ≥ 0.90</t>
        </is>
      </c>
      <c r="F5" s="6" t="inlineStr">
        <is>
          <t>S09 · S10 · S03</t>
        </is>
      </c>
      <c r="G5" s="7" t="inlineStr"/>
      <c r="H5" s="7" t="inlineStr"/>
      <c r="I5" s="23" t="str">
        <f>IF(H5="","","기준 대조")</f>
        <v/>
      </c>
      <c r="J5" s="12" t="inlineStr"/>
    </row>
    <row r="6">
      <c r="A6" s="4" t="inlineStr">
        <is>
          <t>검색</t>
        </is>
      </c>
      <c r="B6" s="5" t="inlineStr">
        <is>
          <t>Precision@k</t>
        </is>
      </c>
      <c r="C6" s="6" t="inlineStr">
        <is>
          <t>상위 k 중 정답 관련 비율</t>
        </is>
      </c>
      <c r="D6" s="4" t="inlineStr">
        <is>
          <t>auto</t>
        </is>
      </c>
      <c r="E6" s="6" t="inlineStr">
        <is>
          <t>≥ 0.40 (k=5)</t>
        </is>
      </c>
      <c r="F6" s="6" t="inlineStr">
        <is>
          <t>S11 · S12</t>
        </is>
      </c>
      <c r="G6" s="7" t="inlineStr"/>
      <c r="H6" s="7" t="inlineStr"/>
      <c r="I6" s="23" t="str">
        <f>IF(H6="","","기준 대조")</f>
        <v/>
      </c>
      <c r="J6" s="12" t="inlineStr"/>
    </row>
    <row r="7">
      <c r="A7" s="4" t="inlineStr">
        <is>
          <t>검색</t>
        </is>
      </c>
      <c r="B7" s="5" t="inlineStr">
        <is>
          <t>MRR</t>
        </is>
      </c>
      <c r="C7" s="6" t="inlineStr">
        <is>
          <t>첫 정답 순위의 역수 평균</t>
        </is>
      </c>
      <c r="D7" s="4" t="inlineStr">
        <is>
          <t>auto</t>
        </is>
      </c>
      <c r="E7" s="6" t="inlineStr">
        <is>
          <t>≥ 0.65</t>
        </is>
      </c>
      <c r="F7" s="6" t="inlineStr">
        <is>
          <t>S12</t>
        </is>
      </c>
      <c r="G7" s="7" t="inlineStr"/>
      <c r="H7" s="7" t="inlineStr"/>
      <c r="I7" s="23" t="str">
        <f>IF(H7="","","기준 대조")</f>
        <v/>
      </c>
      <c r="J7" s="12" t="inlineStr"/>
    </row>
    <row r="8">
      <c r="A8" s="4" t="inlineStr">
        <is>
          <t>검색</t>
        </is>
      </c>
      <c r="B8" s="5" t="inlineStr">
        <is>
          <t>MAP</t>
        </is>
      </c>
      <c r="C8" s="6" t="inlineStr">
        <is>
          <t>정답 위치별 정밀도 평균</t>
        </is>
      </c>
      <c r="D8" s="4" t="inlineStr">
        <is>
          <t>auto</t>
        </is>
      </c>
      <c r="E8" s="6" t="inlineStr">
        <is>
          <t>≥ 0.55</t>
        </is>
      </c>
      <c r="F8" s="6" t="inlineStr">
        <is>
          <t>S11 · S12</t>
        </is>
      </c>
      <c r="G8" s="7" t="inlineStr"/>
      <c r="H8" s="7" t="inlineStr"/>
      <c r="I8" s="23" t="str">
        <f>IF(H8="","","기준 대조")</f>
        <v/>
      </c>
      <c r="J8" s="12" t="inlineStr"/>
    </row>
    <row r="9">
      <c r="A9" s="4" t="inlineStr">
        <is>
          <t>검색</t>
        </is>
      </c>
      <c r="B9" s="5" t="inlineStr">
        <is>
          <t>nDCG@10</t>
        </is>
      </c>
      <c r="C9" s="6" t="inlineStr">
        <is>
          <t>순위 가중 정확도</t>
        </is>
      </c>
      <c r="D9" s="4" t="inlineStr">
        <is>
          <t>auto</t>
        </is>
      </c>
      <c r="E9" s="6" t="inlineStr">
        <is>
          <t>≥ 0.70</t>
        </is>
      </c>
      <c r="F9" s="6" t="inlineStr">
        <is>
          <t>S11 · S12</t>
        </is>
      </c>
      <c r="G9" s="7" t="inlineStr"/>
      <c r="H9" s="7" t="inlineStr"/>
      <c r="I9" s="23" t="str">
        <f>IF(H9="","","기준 대조")</f>
        <v/>
      </c>
      <c r="J9" s="12" t="inlineStr"/>
    </row>
    <row r="10">
      <c r="A10" s="4" t="inlineStr">
        <is>
          <t>검색</t>
        </is>
      </c>
      <c r="B10" s="5" t="inlineStr">
        <is>
          <t>Hit Rate@k</t>
        </is>
      </c>
      <c r="C10" s="6" t="inlineStr">
        <is>
          <t>정답 1건 이상 포함 비율</t>
        </is>
      </c>
      <c r="D10" s="4" t="inlineStr">
        <is>
          <t>auto</t>
        </is>
      </c>
      <c r="E10" s="6" t="inlineStr">
        <is>
          <t>R@5 와 동일 관리</t>
        </is>
      </c>
      <c r="F10" s="6" t="inlineStr">
        <is>
          <t>S09</t>
        </is>
      </c>
      <c r="G10" s="7" t="inlineStr"/>
      <c r="H10" s="7" t="inlineStr"/>
      <c r="I10" s="23" t="str">
        <f>IF(H10="","","기준 대조")</f>
        <v/>
      </c>
      <c r="J10" s="12" t="inlineStr"/>
    </row>
    <row r="11">
      <c r="A11" s="4" t="inlineStr">
        <is>
          <t>검색</t>
        </is>
      </c>
      <c r="B11" s="5" t="inlineStr">
        <is>
          <t>Context Precision</t>
        </is>
      </c>
      <c r="C11" s="6" t="inlineStr">
        <is>
          <t>검색 컨텍스트 중 정답 관련 비율 (RAGAS)</t>
        </is>
      </c>
      <c r="D11" s="4" t="inlineStr">
        <is>
          <t>auto</t>
        </is>
      </c>
      <c r="E11" s="6" t="inlineStr">
        <is>
          <t>≥ 0.50</t>
        </is>
      </c>
      <c r="F11" s="6" t="inlineStr">
        <is>
          <t>S11 · S12 · MMR</t>
        </is>
      </c>
      <c r="G11" s="7" t="inlineStr"/>
      <c r="H11" s="7" t="inlineStr"/>
      <c r="I11" s="23" t="str">
        <f>IF(H11="","","기준 대조")</f>
        <v/>
      </c>
      <c r="J11" s="12" t="inlineStr"/>
    </row>
    <row r="12">
      <c r="A12" s="4" t="inlineStr">
        <is>
          <t>검색</t>
        </is>
      </c>
      <c r="B12" s="5" t="inlineStr">
        <is>
          <t>Context Recall</t>
        </is>
      </c>
      <c r="C12" s="6" t="inlineStr">
        <is>
          <t>정답 문장 내용이 컨텍스트에 포함된 비율 (RAGAS)</t>
        </is>
      </c>
      <c r="D12" s="4" t="inlineStr">
        <is>
          <t>auto</t>
        </is>
      </c>
      <c r="E12" s="6" t="inlineStr">
        <is>
          <t>≥ 0.75</t>
        </is>
      </c>
      <c r="F12" s="6" t="inlineStr">
        <is>
          <t>S03 청킹 · S13 컨텍스트</t>
        </is>
      </c>
      <c r="G12" s="7" t="inlineStr"/>
      <c r="H12" s="7" t="inlineStr"/>
      <c r="I12" s="23" t="str">
        <f>IF(H12="","","기준 대조")</f>
        <v/>
      </c>
      <c r="J12" s="12" t="inlineStr"/>
    </row>
    <row r="13">
      <c r="A13" s="4" t="inlineStr">
        <is>
          <t>생성</t>
        </is>
      </c>
      <c r="B13" s="5" t="inlineStr">
        <is>
          <t>Faithfulness</t>
        </is>
      </c>
      <c r="C13" s="6" t="inlineStr">
        <is>
          <t>답변 문장 중 근거 있는 비율 (RAGAS)</t>
        </is>
      </c>
      <c r="D13" s="4" t="inlineStr">
        <is>
          <t>auto + judge</t>
        </is>
      </c>
      <c r="E13" s="6" t="inlineStr">
        <is>
          <t>≥ 0.85</t>
        </is>
      </c>
      <c r="F13" s="6" t="inlineStr">
        <is>
          <t>S13 · S14</t>
        </is>
      </c>
      <c r="G13" s="7" t="inlineStr"/>
      <c r="H13" s="7" t="inlineStr"/>
      <c r="I13" s="23" t="str">
        <f>IF(H13="","","기준 대조")</f>
        <v/>
      </c>
      <c r="J13" s="12" t="inlineStr"/>
    </row>
    <row r="14">
      <c r="A14" s="4" t="inlineStr">
        <is>
          <t>생성</t>
        </is>
      </c>
      <c r="B14" s="5" t="inlineStr">
        <is>
          <t>Answer Relevancy</t>
        </is>
      </c>
      <c r="C14" s="6" t="inlineStr">
        <is>
          <t>질문과 답변의 의미 정합 (RAGAS)</t>
        </is>
      </c>
      <c r="D14" s="4" t="inlineStr">
        <is>
          <t>auto(임베딩)</t>
        </is>
      </c>
      <c r="E14" s="6" t="inlineStr">
        <is>
          <t>≥ 0.70</t>
        </is>
      </c>
      <c r="F14" s="6" t="inlineStr">
        <is>
          <t>S14 프롬프트</t>
        </is>
      </c>
      <c r="G14" s="7" t="inlineStr"/>
      <c r="H14" s="7" t="inlineStr"/>
      <c r="I14" s="23" t="str">
        <f>IF(H14="","","기준 대조")</f>
        <v/>
      </c>
      <c r="J14" s="12" t="inlineStr"/>
    </row>
    <row r="15">
      <c r="A15" s="4" t="inlineStr">
        <is>
          <t>생성</t>
        </is>
      </c>
      <c r="B15" s="5" t="inlineStr">
        <is>
          <t>Answer Correctness</t>
        </is>
      </c>
      <c r="C15" s="6" t="inlineStr">
        <is>
          <t>필수 요소 충족률 (골든셋 기준)</t>
        </is>
      </c>
      <c r="D15" s="4" t="inlineStr">
        <is>
          <t>auto 근사 + judge</t>
        </is>
      </c>
      <c r="E15" s="6" t="inlineStr">
        <is>
          <t>≥ 0.75</t>
        </is>
      </c>
      <c r="F15" s="6" t="inlineStr">
        <is>
          <t>S13 · S14</t>
        </is>
      </c>
      <c r="G15" s="7" t="inlineStr"/>
      <c r="H15" s="7" t="inlineStr"/>
      <c r="I15" s="23" t="str">
        <f>IF(H15="","","기준 대조")</f>
        <v/>
      </c>
      <c r="J15" s="12" t="inlineStr"/>
    </row>
    <row r="16">
      <c r="A16" s="4" t="inlineStr">
        <is>
          <t>생성</t>
        </is>
      </c>
      <c r="B16" s="5" t="inlineStr">
        <is>
          <t>Citation Accuracy</t>
        </is>
      </c>
      <c r="C16" s="6" t="inlineStr">
        <is>
          <t>인용 번호가 실제 근거를 지시</t>
        </is>
      </c>
      <c r="D16" s="4" t="inlineStr">
        <is>
          <t>auto</t>
        </is>
      </c>
      <c r="E16" s="6" t="inlineStr">
        <is>
          <t>≥ 0.90</t>
        </is>
      </c>
      <c r="F16" s="6" t="inlineStr">
        <is>
          <t>S14 인용 규칙</t>
        </is>
      </c>
      <c r="G16" s="7" t="inlineStr"/>
      <c r="H16" s="7" t="inlineStr"/>
      <c r="I16" s="23" t="str">
        <f>IF(H16="","","기준 대조")</f>
        <v/>
      </c>
      <c r="J16" s="12" t="inlineStr"/>
    </row>
    <row r="17">
      <c r="A17" s="4" t="inlineStr">
        <is>
          <t>생성</t>
        </is>
      </c>
      <c r="B17" s="5" t="inlineStr">
        <is>
          <t>Hallucination Rate</t>
        </is>
      </c>
      <c r="C17" s="6" t="inlineStr">
        <is>
          <t>근거 없는 수치 · 사실 생성 비율</t>
        </is>
      </c>
      <c r="D17" s="4" t="inlineStr">
        <is>
          <t>judge</t>
        </is>
      </c>
      <c r="E17" s="6" t="inlineStr">
        <is>
          <t>≤ 0.05</t>
        </is>
      </c>
      <c r="F17" s="6" t="inlineStr">
        <is>
          <t>S14 · S29 임계</t>
        </is>
      </c>
      <c r="G17" s="7" t="inlineStr"/>
      <c r="H17" s="7" t="inlineStr"/>
      <c r="I17" s="23" t="str">
        <f>IF(H17="","","기준 대조")</f>
        <v/>
      </c>
      <c r="J17" s="12" t="inlineStr"/>
    </row>
    <row r="18">
      <c r="A18" s="4" t="inlineStr">
        <is>
          <t>생성</t>
        </is>
      </c>
      <c r="B18" s="5" t="inlineStr">
        <is>
          <t>Refusal Accuracy</t>
        </is>
      </c>
      <c r="C18" s="6" t="inlineStr">
        <is>
          <t>답없음 문항 거절 정확도</t>
        </is>
      </c>
      <c r="D18" s="4" t="inlineStr">
        <is>
          <t>auto</t>
        </is>
      </c>
      <c r="E18" s="6" t="inlineStr">
        <is>
          <t>≥ 0.80</t>
        </is>
      </c>
      <c r="F18" s="6" t="inlineStr">
        <is>
          <t>S14 · 점수 임계</t>
        </is>
      </c>
      <c r="G18" s="7" t="inlineStr"/>
      <c r="H18" s="7" t="inlineStr"/>
      <c r="I18" s="23" t="str">
        <f>IF(H18="","","기준 대조")</f>
        <v/>
      </c>
      <c r="J18" s="12" t="inlineStr"/>
    </row>
    <row r="19">
      <c r="A19" s="4" t="inlineStr">
        <is>
          <t>운영</t>
        </is>
      </c>
      <c r="B19" s="5" t="inlineStr">
        <is>
          <t>p95 지연</t>
        </is>
      </c>
      <c r="C19" s="6" t="inlineStr">
        <is>
          <t>질의 응답 95 분위 시간</t>
        </is>
      </c>
      <c r="D19" s="4" t="inlineStr">
        <is>
          <t>auto</t>
        </is>
      </c>
      <c r="E19" s="6" t="inlineStr">
        <is>
          <t>검색 ≤ 2초 · 답변 ≤ 8초</t>
        </is>
      </c>
      <c r="F19" s="6" t="inlineStr">
        <is>
          <t>S12 후보 수</t>
        </is>
      </c>
      <c r="G19" s="7" t="inlineStr"/>
      <c r="H19" s="7" t="inlineStr"/>
      <c r="I19" s="23" t="str">
        <f>IF(H19="","","기준 대조")</f>
        <v/>
      </c>
      <c r="J19" s="12" t="inlineStr"/>
    </row>
    <row r="20">
      <c r="A20" s="4" t="inlineStr">
        <is>
          <t>운영</t>
        </is>
      </c>
      <c r="B20" s="5" t="inlineStr">
        <is>
          <t>평가 재현성</t>
        </is>
      </c>
      <c r="C20" s="6" t="inlineStr">
        <is>
          <t>동일 설정 2회 측정 편차</t>
        </is>
      </c>
      <c r="D20" s="4" t="inlineStr">
        <is>
          <t>auto</t>
        </is>
      </c>
      <c r="E20" s="6" t="inlineStr">
        <is>
          <t>≤ 0.02</t>
        </is>
      </c>
      <c r="F20" s="6" t="inlineStr">
        <is>
          <t>캐시 · temperature 0</t>
        </is>
      </c>
      <c r="G20" s="7" t="inlineStr"/>
      <c r="H20" s="7" t="inlineStr"/>
      <c r="I20" s="23" t="str">
        <f>IF(H20="","","기준 대조")</f>
        <v/>
      </c>
      <c r="J20" s="12" t="inlineStr"/>
    </row>
    <row r="22">
      <c r="A22" s="8" t="inlineStr">
        <is>
          <t>집계</t>
        </is>
      </c>
    </row>
    <row r="23">
      <c r="A23" s="13" t="inlineStr">
        <is>
          <t>측정 완료 지표</t>
        </is>
      </c>
      <c r="B23" s="14">
        <f>COUNTIF(H5:H20,"&lt;&gt;")</f>
        <v>0</v>
      </c>
    </row>
    <row r="24">
      <c r="A24" s="13" t="inlineStr">
        <is>
          <t>전체 지표</t>
        </is>
      </c>
      <c r="B24" s="14" t="n">
        <v>16</v>
      </c>
    </row>
    <row r="25">
      <c r="A25" s="13" t="inlineStr">
        <is>
          <t>측정률</t>
        </is>
      </c>
      <c r="B25" s="17">
        <f>IFERROR(COUNTIF(H5:H20,"&lt;&gt;")/16,"")</f>
        <v>0.0</v>
      </c>
    </row>
  </sheetData>
  <autoFilter ref="A4:J5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8" customWidth="1" min="3" max="3"/>
    <col width="52" customWidth="1" min="4" max="4"/>
    <col width="9" customWidth="1" min="5" max="5"/>
    <col width="26" customWidth="1" min="6" max="6"/>
  </cols>
  <sheetData>
    <row r="1">
      <c r="A1" s="11" t="inlineStr">
        <is>
          <t>8. 이슈 · 결정 사항</t>
        </is>
      </c>
    </row>
    <row r="2">
      <c r="A2" s="2" t="inlineStr">
        <is>
          <t>판단 근거를 남겨 재논의 방지 · 신규 행은 아래에 추가</t>
        </is>
      </c>
    </row>
    <row r="4">
      <c r="A4" s="3" t="inlineStr">
        <is>
          <t>일자</t>
        </is>
      </c>
      <c r="B4" s="3" t="inlineStr">
        <is>
          <t>이슈</t>
        </is>
      </c>
      <c r="C4" s="3" t="inlineStr">
        <is>
          <t>원인</t>
        </is>
      </c>
      <c r="D4" s="3" t="inlineStr">
        <is>
          <t>결정 · 조치</t>
        </is>
      </c>
      <c r="E4" s="3" t="inlineStr">
        <is>
          <t>상태</t>
        </is>
      </c>
      <c r="F4" s="3" t="inlineStr">
        <is>
          <t>후속 확인</t>
        </is>
      </c>
    </row>
    <row r="5">
      <c r="A5" s="4" t="inlineStr">
        <is>
          <t>2026-09-19</t>
        </is>
      </c>
      <c r="B5" s="6" t="inlineStr">
        <is>
          <t>카톡 뷰어에서 HTML 화면이 비어 보임</t>
        </is>
      </c>
      <c r="C5" s="6" t="inlineStr">
        <is>
          <t>JS 미실행 환경에서 본문을 스크립트로 렌더</t>
        </is>
      </c>
      <c r="D5" s="6" t="inlineStr">
        <is>
          <t>모든 산출 HTML 정적화(스크립트 0)</t>
        </is>
      </c>
      <c r="E5" s="4" t="inlineStr">
        <is>
          <t>완료</t>
        </is>
      </c>
      <c r="F5" s="12" t="n"/>
    </row>
    <row r="6">
      <c r="A6" s="4" t="inlineStr">
        <is>
          <t>2026-09-19</t>
        </is>
      </c>
      <c r="B6" s="6" t="inlineStr">
        <is>
          <t>사내 환경 불일치</t>
        </is>
      </c>
      <c r="C6" s="6" t="inlineStr">
        <is>
          <t>맥 기준 코드 작성</t>
        </is>
      </c>
      <c r="D6" s="6" t="inlineStr">
        <is>
          <t>Windows + Spyder 전제로 전면 수정(BOM · cp949 · 엑셀 잠김)</t>
        </is>
      </c>
      <c r="E6" s="4" t="inlineStr">
        <is>
          <t>완료</t>
        </is>
      </c>
      <c r="F6" s="12" t="n"/>
    </row>
    <row r="7">
      <c r="A7" s="4" t="inlineStr">
        <is>
          <t>2026-09-22</t>
        </is>
      </c>
      <c r="B7" s="6" t="inlineStr">
        <is>
          <t>컬럼 정의서에 본문 · 요약 누락</t>
        </is>
      </c>
      <c r="C7" s="6" t="inlineStr">
        <is>
          <t>메타 중심 설계</t>
        </is>
      </c>
      <c r="D7" s="6" t="inlineStr">
        <is>
          <t>본문 테이블 14 · 청크 2 컬럼 추가</t>
        </is>
      </c>
      <c r="E7" s="4" t="inlineStr">
        <is>
          <t>완료</t>
        </is>
      </c>
      <c r="F7" s="12" t="n"/>
    </row>
    <row r="8">
      <c r="A8" s="4" t="inlineStr">
        <is>
          <t>2026-09-23</t>
        </is>
      </c>
      <c r="B8" s="6" t="inlineStr">
        <is>
          <t>마케팅 부서 골든셋 확보 곤란</t>
        </is>
      </c>
      <c r="C8" s="6" t="inlineStr">
        <is>
          <t>내부 라벨 작업 부담</t>
        </is>
      </c>
      <c r="D8" s="6" t="inlineStr">
        <is>
          <t>사외 정보 기반 질문 60건 + LLM 생성 골든셋 병행</t>
        </is>
      </c>
      <c r="E8" s="4" t="inlineStr">
        <is>
          <t>완료</t>
        </is>
      </c>
      <c r="F8" s="12" t="n"/>
    </row>
    <row r="9">
      <c r="A9" s="4" t="inlineStr">
        <is>
          <t>2026-09-23</t>
        </is>
      </c>
      <c r="B9" s="6" t="inlineStr">
        <is>
          <t>질문만 있고 근거 문서 없음</t>
        </is>
      </c>
      <c r="C9" s="6" t="inlineStr">
        <is>
          <t>질문 우선 작성</t>
        </is>
      </c>
      <c r="D9" s="6" t="inlineStr">
        <is>
          <t>nb11 근거 연결 단계 신설 · 수집 공백과 검색 실패 분리</t>
        </is>
      </c>
      <c r="E9" s="4" t="inlineStr">
        <is>
          <t>완료</t>
        </is>
      </c>
      <c r="F9" s="12" t="n"/>
    </row>
    <row r="10">
      <c r="A10" s="4" t="inlineStr"/>
      <c r="B10" s="6" t="inlineStr"/>
      <c r="C10" s="6" t="inlineStr"/>
      <c r="D10" s="6" t="inlineStr"/>
      <c r="E10" s="4" t="inlineStr"/>
      <c r="F10" s="12" t="n"/>
    </row>
    <row r="11">
      <c r="A11" s="6" t="n"/>
      <c r="B11" s="6" t="n"/>
      <c r="C11" s="6" t="n"/>
      <c r="D11" s="6" t="n"/>
      <c r="E11" s="6" t="n"/>
      <c r="F11" s="12" t="n"/>
    </row>
    <row r="12">
      <c r="A12" s="6" t="n"/>
      <c r="B12" s="6" t="n"/>
      <c r="C12" s="6" t="n"/>
      <c r="D12" s="6" t="n"/>
      <c r="E12" s="6" t="n"/>
      <c r="F12" s="12" t="n"/>
    </row>
    <row r="13">
      <c r="A13" s="6" t="n"/>
      <c r="B13" s="6" t="n"/>
      <c r="C13" s="6" t="n"/>
      <c r="D13" s="6" t="n"/>
      <c r="E13" s="6" t="n"/>
      <c r="F13" s="12" t="n"/>
    </row>
    <row r="14">
      <c r="A14" s="6" t="n"/>
      <c r="B14" s="6" t="n"/>
      <c r="C14" s="6" t="n"/>
      <c r="D14" s="6" t="n"/>
      <c r="E14" s="6" t="n"/>
      <c r="F14" s="12" t="n"/>
    </row>
    <row r="15">
      <c r="A15" s="6" t="n"/>
      <c r="B15" s="6" t="n"/>
      <c r="C15" s="6" t="n"/>
      <c r="D15" s="6" t="n"/>
      <c r="E15" s="6" t="n"/>
      <c r="F15" s="12" t="n"/>
    </row>
    <row r="16">
      <c r="A16" s="6" t="n"/>
      <c r="B16" s="6" t="n"/>
      <c r="C16" s="6" t="n"/>
      <c r="D16" s="6" t="n"/>
      <c r="E16" s="6" t="n"/>
      <c r="F16" s="12" t="n"/>
    </row>
    <row r="17">
      <c r="A17" s="6" t="n"/>
      <c r="B17" s="6" t="n"/>
      <c r="C17" s="6" t="n"/>
      <c r="D17" s="6" t="n"/>
      <c r="E17" s="6" t="n"/>
      <c r="F17" s="12" t="n"/>
    </row>
    <row r="18">
      <c r="A18" s="6" t="n"/>
      <c r="B18" s="6" t="n"/>
      <c r="C18" s="6" t="n"/>
      <c r="D18" s="6" t="n"/>
      <c r="E18" s="6" t="n"/>
      <c r="F18" s="12" t="n"/>
    </row>
    <row r="19">
      <c r="A19" s="6" t="n"/>
      <c r="B19" s="6" t="n"/>
      <c r="C19" s="6" t="n"/>
      <c r="D19" s="6" t="n"/>
      <c r="E19" s="6" t="n"/>
      <c r="F19" s="12" t="n"/>
    </row>
    <row r="20">
      <c r="A20" s="6" t="n"/>
      <c r="B20" s="6" t="n"/>
      <c r="C20" s="6" t="n"/>
      <c r="D20" s="6" t="n"/>
      <c r="E20" s="6" t="n"/>
      <c r="F20" s="12" t="n"/>
    </row>
    <row r="21">
      <c r="A21" s="6" t="n"/>
      <c r="B21" s="6" t="n"/>
      <c r="C21" s="6" t="n"/>
      <c r="D21" s="6" t="n"/>
      <c r="E21" s="6" t="n"/>
      <c r="F21" s="12" t="n"/>
    </row>
    <row r="22">
      <c r="A22" s="6" t="n"/>
      <c r="B22" s="6" t="n"/>
      <c r="C22" s="6" t="n"/>
      <c r="D22" s="6" t="n"/>
      <c r="E22" s="6" t="n"/>
      <c r="F22" s="12" t="n"/>
    </row>
    <row r="23">
      <c r="A23" s="6" t="n"/>
      <c r="B23" s="6" t="n"/>
      <c r="C23" s="6" t="n"/>
      <c r="D23" s="6" t="n"/>
      <c r="E23" s="6" t="n"/>
      <c r="F23" s="12" t="n"/>
    </row>
    <row r="24">
      <c r="A24" s="6" t="n"/>
      <c r="B24" s="6" t="n"/>
      <c r="C24" s="6" t="n"/>
      <c r="D24" s="6" t="n"/>
      <c r="E24" s="6" t="n"/>
      <c r="F24" s="12" t="n"/>
    </row>
    <row r="25">
      <c r="A25" s="6" t="n"/>
      <c r="B25" s="6" t="n"/>
      <c r="C25" s="6" t="n"/>
      <c r="D25" s="6" t="n"/>
      <c r="E25" s="6" t="n"/>
      <c r="F25" s="12" t="n"/>
    </row>
    <row r="26">
      <c r="A26" s="6" t="n"/>
      <c r="B26" s="6" t="n"/>
      <c r="C26" s="6" t="n"/>
      <c r="D26" s="6" t="n"/>
      <c r="E26" s="6" t="n"/>
      <c r="F26" s="12" t="n"/>
    </row>
    <row r="27">
      <c r="A27" s="6" t="n"/>
      <c r="B27" s="6" t="n"/>
      <c r="C27" s="6" t="n"/>
      <c r="D27" s="6" t="n"/>
      <c r="E27" s="6" t="n"/>
      <c r="F27" s="12" t="n"/>
    </row>
    <row r="28">
      <c r="A28" s="6" t="n"/>
      <c r="B28" s="6" t="n"/>
      <c r="C28" s="6" t="n"/>
      <c r="D28" s="6" t="n"/>
      <c r="E28" s="6" t="n"/>
      <c r="F28" s="12" t="n"/>
    </row>
    <row r="29">
      <c r="A29" s="6" t="n"/>
      <c r="B29" s="6" t="n"/>
      <c r="C29" s="6" t="n"/>
      <c r="D29" s="6" t="n"/>
      <c r="E29" s="6" t="n"/>
      <c r="F29" s="12" t="n"/>
    </row>
    <row r="30">
      <c r="A30" s="6" t="n"/>
      <c r="B30" s="6" t="n"/>
      <c r="C30" s="6" t="n"/>
      <c r="D30" s="6" t="n"/>
      <c r="E30" s="6" t="n"/>
      <c r="F30" s="12" t="n"/>
    </row>
    <row r="31">
      <c r="A31" s="6" t="n"/>
      <c r="B31" s="6" t="n"/>
      <c r="C31" s="6" t="n"/>
      <c r="D31" s="6" t="n"/>
      <c r="E31" s="6" t="n"/>
      <c r="F31" s="12" t="n"/>
    </row>
    <row r="32">
      <c r="A32" s="6" t="n"/>
      <c r="B32" s="6" t="n"/>
      <c r="C32" s="6" t="n"/>
      <c r="D32" s="6" t="n"/>
      <c r="E32" s="6" t="n"/>
      <c r="F32" s="12" t="n"/>
    </row>
    <row r="33">
      <c r="A33" s="6" t="n"/>
      <c r="B33" s="6" t="n"/>
      <c r="C33" s="6" t="n"/>
      <c r="D33" s="6" t="n"/>
      <c r="E33" s="6" t="n"/>
      <c r="F33" s="12" t="n"/>
    </row>
    <row r="34">
      <c r="A34" s="6" t="n"/>
      <c r="B34" s="6" t="n"/>
      <c r="C34" s="6" t="n"/>
      <c r="D34" s="6" t="n"/>
      <c r="E34" s="6" t="n"/>
      <c r="F34" s="12" t="n"/>
    </row>
    <row r="35">
      <c r="A35" s="6" t="n"/>
      <c r="B35" s="6" t="n"/>
      <c r="C35" s="6" t="n"/>
      <c r="D35" s="6" t="n"/>
      <c r="E35" s="6" t="n"/>
      <c r="F35" s="12" t="n"/>
    </row>
    <row r="36">
      <c r="A36" s="6" t="n"/>
      <c r="B36" s="6" t="n"/>
      <c r="C36" s="6" t="n"/>
      <c r="D36" s="6" t="n"/>
      <c r="E36" s="6" t="n"/>
      <c r="F36" s="12" t="n"/>
    </row>
    <row r="37">
      <c r="A37" s="6" t="n"/>
      <c r="B37" s="6" t="n"/>
      <c r="C37" s="6" t="n"/>
      <c r="D37" s="6" t="n"/>
      <c r="E37" s="6" t="n"/>
      <c r="F37" s="12" t="n"/>
    </row>
    <row r="38">
      <c r="A38" s="6" t="n"/>
      <c r="B38" s="6" t="n"/>
      <c r="C38" s="6" t="n"/>
      <c r="D38" s="6" t="n"/>
      <c r="E38" s="6" t="n"/>
      <c r="F38" s="12" t="n"/>
    </row>
    <row r="39">
      <c r="A39" s="6" t="n"/>
      <c r="B39" s="6" t="n"/>
      <c r="C39" s="6" t="n"/>
      <c r="D39" s="6" t="n"/>
      <c r="E39" s="6" t="n"/>
      <c r="F39" s="12" t="n"/>
    </row>
    <row r="40">
      <c r="A40" s="6" t="n"/>
      <c r="B40" s="6" t="n"/>
      <c r="C40" s="6" t="n"/>
      <c r="D40" s="6" t="n"/>
      <c r="E40" s="6" t="n"/>
      <c r="F40" s="12" t="n"/>
    </row>
  </sheetData>
  <autoFilter ref="A4:F40"/>
  <mergeCells count="2">
    <mergeCell ref="A2:F2"/>
    <mergeCell ref="A1:F1"/>
  </mergeCells>
  <dataValidations count="1">
    <dataValidation sqref="E5:E40" showDropDown="0" showInputMessage="0" showErrorMessage="0" allowBlank="1" type="list">
      <formula1>"완료,진행,보류"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11" customWidth="1" min="4" max="4"/>
    <col width="10" customWidth="1" min="5" max="5"/>
    <col width="40" customWidth="1" min="6" max="6"/>
  </cols>
  <sheetData>
    <row r="1">
      <c r="A1" s="11" t="inlineStr">
        <is>
          <t>9. 다음 할 일</t>
        </is>
      </c>
    </row>
    <row r="2">
      <c r="A2" s="2" t="inlineStr">
        <is>
          <t>우선순위 P0 → P3 · 담당 · 기한 기입</t>
        </is>
      </c>
    </row>
    <row r="4">
      <c r="A4" s="3" t="inlineStr">
        <is>
          <t>우선</t>
        </is>
      </c>
      <c r="B4" s="3" t="inlineStr">
        <is>
          <t>과제</t>
        </is>
      </c>
      <c r="C4" s="3" t="inlineStr">
        <is>
          <t>담당</t>
        </is>
      </c>
      <c r="D4" s="3" t="inlineStr">
        <is>
          <t>기한</t>
        </is>
      </c>
      <c r="E4" s="3" t="inlineStr">
        <is>
          <t>상태</t>
        </is>
      </c>
      <c r="F4" s="3" t="inlineStr">
        <is>
          <t>비고</t>
        </is>
      </c>
    </row>
    <row r="5">
      <c r="A5" s="4" t="inlineStr">
        <is>
          <t>P0</t>
        </is>
      </c>
      <c r="B5" s="6" t="inlineStr">
        <is>
          <t>사내 테이블 · 컬럼 이름을 lab_config [사내 맞춤] 에 반영</t>
        </is>
      </c>
      <c r="C5" s="7" t="inlineStr"/>
      <c r="D5" s="7" t="inlineStr"/>
      <c r="E5" s="7" t="inlineStr">
        <is>
          <t>미착수</t>
        </is>
      </c>
      <c r="F5" s="12" t="inlineStr">
        <is>
          <t>RAW · CHUNK · MV · DOC_TYPE_MAP</t>
        </is>
      </c>
    </row>
    <row r="6">
      <c r="A6" s="4" t="inlineStr">
        <is>
          <t>P0</t>
        </is>
      </c>
      <c r="B6" s="6" t="inlineStr">
        <is>
          <t>.env 작성 후 LAB_MODE=live 전환</t>
        </is>
      </c>
      <c r="C6" s="7" t="inlineStr"/>
      <c r="D6" s="7" t="inlineStr"/>
      <c r="E6" s="7" t="inlineStr">
        <is>
          <t>미착수</t>
        </is>
      </c>
      <c r="F6" s="12" t="inlineStr">
        <is>
          <t>Oracle 읽기 전용 계정 사용</t>
        </is>
      </c>
    </row>
    <row r="7">
      <c r="A7" s="4" t="inlineStr">
        <is>
          <t>P0</t>
        </is>
      </c>
      <c r="B7" s="6" t="inlineStr">
        <is>
          <t>nb00 적재 검증 실행 → 미달 항목 조치</t>
        </is>
      </c>
      <c r="C7" s="7" t="inlineStr"/>
      <c r="D7" s="7" t="inlineStr"/>
      <c r="E7" s="7" t="inlineStr">
        <is>
          <t>미착수</t>
        </is>
      </c>
      <c r="F7" s="12" t="inlineStr">
        <is>
          <t>`3_파이프라인점검` 기입</t>
        </is>
      </c>
    </row>
    <row r="8">
      <c r="A8" s="4" t="inlineStr">
        <is>
          <t>P1</t>
        </is>
      </c>
      <c r="B8" s="6" t="inlineStr">
        <is>
          <t>nb12 로 LLM 골든셋 생성 → 검수 → 확정</t>
        </is>
      </c>
      <c r="C8" s="7" t="inlineStr"/>
      <c r="D8" s="7" t="inlineStr"/>
      <c r="E8" s="7" t="inlineStr">
        <is>
          <t>미착수</t>
        </is>
      </c>
      <c r="F8" s="12" t="inlineStr">
        <is>
          <t>유형 배분 목표 준수</t>
        </is>
      </c>
    </row>
    <row r="9">
      <c r="A9" s="4" t="inlineStr">
        <is>
          <t>P1</t>
        </is>
      </c>
      <c r="B9" s="6" t="inlineStr">
        <is>
          <t>nb11 로 사외 60문항 근거 연결 · 수집 공백 목록화</t>
        </is>
      </c>
      <c r="C9" s="7" t="inlineStr"/>
      <c r="D9" s="7" t="inlineStr"/>
      <c r="E9" s="7" t="inlineStr">
        <is>
          <t>미착수</t>
        </is>
      </c>
      <c r="F9" s="12" t="inlineStr">
        <is>
          <t>`2d` · `2e` 시트</t>
        </is>
      </c>
    </row>
    <row r="10">
      <c r="A10" s="4" t="inlineStr">
        <is>
          <t>P1</t>
        </is>
      </c>
      <c r="B10" s="6" t="inlineStr">
        <is>
          <t>nb06 · nb10 1차 측정 → `7_지표현황` 기입</t>
        </is>
      </c>
      <c r="C10" s="7" t="inlineStr"/>
      <c r="D10" s="7" t="inlineStr"/>
      <c r="E10" s="7" t="inlineStr">
        <is>
          <t>미착수</t>
        </is>
      </c>
      <c r="F10" s="12" t="inlineStr">
        <is>
          <t>기준선 확보</t>
        </is>
      </c>
    </row>
    <row r="11">
      <c r="A11" s="4" t="inlineStr">
        <is>
          <t>P2</t>
        </is>
      </c>
      <c r="B11" s="6" t="inlineStr">
        <is>
          <t>nb13 프리셋 비교 → 운영 프리셋 확정</t>
        </is>
      </c>
      <c r="C11" s="7" t="inlineStr"/>
      <c r="D11" s="7" t="inlineStr"/>
      <c r="E11" s="7" t="inlineStr">
        <is>
          <t>미착수</t>
        </is>
      </c>
      <c r="F11" s="12" t="inlineStr">
        <is>
          <t>회차당 변경 1개</t>
        </is>
      </c>
    </row>
    <row r="12">
      <c r="A12" s="4" t="inlineStr">
        <is>
          <t>P2</t>
        </is>
      </c>
      <c r="B12" s="6" t="inlineStr">
        <is>
          <t>소스별 컬럼 정의서 사내 보유 여부 기입</t>
        </is>
      </c>
      <c r="C12" s="7" t="inlineStr"/>
      <c r="D12" s="7" t="inlineStr"/>
      <c r="E12" s="7" t="inlineStr">
        <is>
          <t>미착수</t>
        </is>
      </c>
      <c r="F12" s="12" t="inlineStr">
        <is>
          <t>rag_checklist_rev10.xlsx</t>
        </is>
      </c>
    </row>
    <row r="13">
      <c r="A13" s="4" t="inlineStr">
        <is>
          <t>P2</t>
        </is>
      </c>
      <c r="B13" s="6" t="inlineStr">
        <is>
          <t>정형 지표 정의서 작성 → nb07 연계</t>
        </is>
      </c>
      <c r="C13" s="7" t="inlineStr"/>
      <c r="D13" s="7" t="inlineStr"/>
      <c r="E13" s="7" t="inlineStr">
        <is>
          <t>미착수</t>
        </is>
      </c>
      <c r="F13" s="12" t="inlineStr">
        <is>
          <t>metric_catalog_template_rev1.xlsx</t>
        </is>
      </c>
    </row>
    <row r="14">
      <c r="A14" s="4" t="inlineStr">
        <is>
          <t>P3</t>
        </is>
      </c>
      <c r="B14" s="6" t="inlineStr">
        <is>
          <t>Phase 2 마켓 센싱 축별 상시 질의 정의</t>
        </is>
      </c>
      <c r="C14" s="7" t="inlineStr"/>
      <c r="D14" s="7" t="inlineStr"/>
      <c r="E14" s="7" t="inlineStr">
        <is>
          <t>미착수</t>
        </is>
      </c>
      <c r="F14" s="12" t="inlineStr">
        <is>
          <t>6축 · 백테스트</t>
        </is>
      </c>
    </row>
    <row r="15">
      <c r="A15" s="6" t="n"/>
      <c r="B15" s="6" t="n"/>
      <c r="C15" s="12" t="n"/>
      <c r="D15" s="12" t="n"/>
      <c r="E15" s="12" t="n"/>
      <c r="F15" s="12" t="n"/>
    </row>
    <row r="16">
      <c r="A16" s="6" t="n"/>
      <c r="B16" s="6" t="n"/>
      <c r="C16" s="12" t="n"/>
      <c r="D16" s="12" t="n"/>
      <c r="E16" s="12" t="n"/>
      <c r="F16" s="12" t="n"/>
    </row>
    <row r="17">
      <c r="A17" s="6" t="n"/>
      <c r="B17" s="6" t="n"/>
      <c r="C17" s="12" t="n"/>
      <c r="D17" s="12" t="n"/>
      <c r="E17" s="12" t="n"/>
      <c r="F17" s="12" t="n"/>
    </row>
    <row r="18">
      <c r="A18" s="6" t="n"/>
      <c r="B18" s="6" t="n"/>
      <c r="C18" s="12" t="n"/>
      <c r="D18" s="12" t="n"/>
      <c r="E18" s="12" t="n"/>
      <c r="F18" s="12" t="n"/>
    </row>
    <row r="19">
      <c r="A19" s="6" t="n"/>
      <c r="B19" s="6" t="n"/>
      <c r="C19" s="12" t="n"/>
      <c r="D19" s="12" t="n"/>
      <c r="E19" s="12" t="n"/>
      <c r="F19" s="12" t="n"/>
    </row>
    <row r="20">
      <c r="A20" s="6" t="n"/>
      <c r="B20" s="6" t="n"/>
      <c r="C20" s="12" t="n"/>
      <c r="D20" s="12" t="n"/>
      <c r="E20" s="12" t="n"/>
      <c r="F20" s="12" t="n"/>
    </row>
    <row r="21">
      <c r="A21" s="6" t="n"/>
      <c r="B21" s="6" t="n"/>
      <c r="C21" s="12" t="n"/>
      <c r="D21" s="12" t="n"/>
      <c r="E21" s="12" t="n"/>
      <c r="F21" s="12" t="n"/>
    </row>
    <row r="22">
      <c r="A22" s="6" t="n"/>
      <c r="B22" s="6" t="n"/>
      <c r="C22" s="12" t="n"/>
      <c r="D22" s="12" t="n"/>
      <c r="E22" s="12" t="n"/>
      <c r="F22" s="12" t="n"/>
    </row>
    <row r="23">
      <c r="A23" s="6" t="n"/>
      <c r="B23" s="6" t="n"/>
      <c r="C23" s="12" t="n"/>
      <c r="D23" s="12" t="n"/>
      <c r="E23" s="12" t="n"/>
      <c r="F23" s="12" t="n"/>
    </row>
    <row r="24">
      <c r="A24" s="6" t="n"/>
      <c r="B24" s="6" t="n"/>
      <c r="C24" s="12" t="n"/>
      <c r="D24" s="12" t="n"/>
      <c r="E24" s="12" t="n"/>
      <c r="F24" s="12" t="n"/>
    </row>
    <row r="25">
      <c r="A25" s="6" t="n"/>
      <c r="B25" s="6" t="n"/>
      <c r="C25" s="12" t="n"/>
      <c r="D25" s="12" t="n"/>
      <c r="E25" s="12" t="n"/>
      <c r="F25" s="12" t="n"/>
    </row>
    <row r="26">
      <c r="A26" s="6" t="n"/>
      <c r="B26" s="6" t="n"/>
      <c r="C26" s="12" t="n"/>
      <c r="D26" s="12" t="n"/>
      <c r="E26" s="12" t="n"/>
      <c r="F26" s="12" t="n"/>
    </row>
    <row r="27">
      <c r="A27" s="6" t="n"/>
      <c r="B27" s="6" t="n"/>
      <c r="C27" s="12" t="n"/>
      <c r="D27" s="12" t="n"/>
      <c r="E27" s="12" t="n"/>
      <c r="F27" s="12" t="n"/>
    </row>
    <row r="28">
      <c r="A28" s="6" t="n"/>
      <c r="B28" s="6" t="n"/>
      <c r="C28" s="12" t="n"/>
      <c r="D28" s="12" t="n"/>
      <c r="E28" s="12" t="n"/>
      <c r="F28" s="12" t="n"/>
    </row>
    <row r="29">
      <c r="A29" s="6" t="n"/>
      <c r="B29" s="6" t="n"/>
      <c r="C29" s="12" t="n"/>
      <c r="D29" s="12" t="n"/>
      <c r="E29" s="12" t="n"/>
      <c r="F29" s="12" t="n"/>
    </row>
    <row r="30">
      <c r="A30" s="6" t="n"/>
      <c r="B30" s="6" t="n"/>
      <c r="C30" s="12" t="n"/>
      <c r="D30" s="12" t="n"/>
      <c r="E30" s="12" t="n"/>
      <c r="F30" s="12" t="n"/>
    </row>
    <row r="31">
      <c r="A31" s="6" t="n"/>
      <c r="B31" s="6" t="n"/>
      <c r="C31" s="12" t="n"/>
      <c r="D31" s="12" t="n"/>
      <c r="E31" s="12" t="n"/>
      <c r="F31" s="12" t="n"/>
    </row>
    <row r="32">
      <c r="A32" s="6" t="n"/>
      <c r="B32" s="6" t="n"/>
      <c r="C32" s="12" t="n"/>
      <c r="D32" s="12" t="n"/>
      <c r="E32" s="12" t="n"/>
      <c r="F32" s="12" t="n"/>
    </row>
    <row r="33">
      <c r="A33" s="6" t="n"/>
      <c r="B33" s="6" t="n"/>
      <c r="C33" s="12" t="n"/>
      <c r="D33" s="12" t="n"/>
      <c r="E33" s="12" t="n"/>
      <c r="F33" s="12" t="n"/>
    </row>
    <row r="34">
      <c r="A34" s="6" t="n"/>
      <c r="B34" s="6" t="n"/>
      <c r="C34" s="12" t="n"/>
      <c r="D34" s="12" t="n"/>
      <c r="E34" s="12" t="n"/>
      <c r="F34" s="12" t="n"/>
    </row>
    <row r="35">
      <c r="A35" s="6" t="n"/>
      <c r="B35" s="6" t="n"/>
      <c r="C35" s="12" t="n"/>
      <c r="D35" s="12" t="n"/>
      <c r="E35" s="12" t="n"/>
      <c r="F35" s="12" t="n"/>
    </row>
    <row r="36">
      <c r="A36" s="6" t="n"/>
      <c r="B36" s="6" t="n"/>
      <c r="C36" s="12" t="n"/>
      <c r="D36" s="12" t="n"/>
      <c r="E36" s="12" t="n"/>
      <c r="F36" s="12" t="n"/>
    </row>
    <row r="37">
      <c r="A37" s="6" t="n"/>
      <c r="B37" s="6" t="n"/>
      <c r="C37" s="12" t="n"/>
      <c r="D37" s="12" t="n"/>
      <c r="E37" s="12" t="n"/>
      <c r="F37" s="12" t="n"/>
    </row>
    <row r="38">
      <c r="A38" s="6" t="n"/>
      <c r="B38" s="6" t="n"/>
      <c r="C38" s="12" t="n"/>
      <c r="D38" s="12" t="n"/>
      <c r="E38" s="12" t="n"/>
      <c r="F38" s="12" t="n"/>
    </row>
    <row r="39">
      <c r="A39" s="6" t="n"/>
      <c r="B39" s="6" t="n"/>
      <c r="C39" s="12" t="n"/>
      <c r="D39" s="12" t="n"/>
      <c r="E39" s="12" t="n"/>
      <c r="F39" s="12" t="n"/>
    </row>
    <row r="40">
      <c r="A40" s="6" t="n"/>
      <c r="B40" s="6" t="n"/>
      <c r="C40" s="12" t="n"/>
      <c r="D40" s="12" t="n"/>
      <c r="E40" s="12" t="n"/>
      <c r="F40" s="12" t="n"/>
    </row>
    <row r="41">
      <c r="A41" s="6" t="n"/>
      <c r="B41" s="6" t="n"/>
      <c r="C41" s="12" t="n"/>
      <c r="D41" s="12" t="n"/>
      <c r="E41" s="12" t="n"/>
      <c r="F41" s="12" t="n"/>
    </row>
    <row r="42">
      <c r="A42" s="6" t="n"/>
      <c r="B42" s="6" t="n"/>
      <c r="C42" s="12" t="n"/>
      <c r="D42" s="12" t="n"/>
      <c r="E42" s="12" t="n"/>
      <c r="F42" s="12" t="n"/>
    </row>
    <row r="43">
      <c r="A43" s="6" t="n"/>
      <c r="B43" s="6" t="n"/>
      <c r="C43" s="12" t="n"/>
      <c r="D43" s="12" t="n"/>
      <c r="E43" s="12" t="n"/>
      <c r="F43" s="12" t="n"/>
    </row>
    <row r="44">
      <c r="A44" s="6" t="n"/>
      <c r="B44" s="6" t="n"/>
      <c r="C44" s="12" t="n"/>
      <c r="D44" s="12" t="n"/>
      <c r="E44" s="12" t="n"/>
      <c r="F44" s="12" t="n"/>
    </row>
    <row r="46">
      <c r="A46" s="8" t="inlineStr">
        <is>
          <t>집계</t>
        </is>
      </c>
    </row>
    <row r="47">
      <c r="A47" s="13" t="inlineStr">
        <is>
          <t>전체 과제</t>
        </is>
      </c>
      <c r="B47" s="14">
        <f>COUNTIF(B5:B44,"&lt;&gt;")</f>
        <v>10</v>
      </c>
    </row>
    <row r="48">
      <c r="A48" s="13" t="inlineStr">
        <is>
          <t>완료</t>
        </is>
      </c>
      <c r="B48" s="14">
        <f>COUNTIF(E5:E44,"완료")</f>
        <v>0</v>
      </c>
    </row>
    <row r="49">
      <c r="A49" s="13" t="inlineStr">
        <is>
          <t>진행률</t>
        </is>
      </c>
      <c r="B49" s="17">
        <f>IFERROR(COUNTIF(E5:E44,"완료")/COUNTIF(B5:B44,"&lt;&gt;"),"")</f>
        <v>0.0</v>
      </c>
    </row>
  </sheetData>
  <autoFilter ref="A4:F44"/>
  <mergeCells count="2">
    <mergeCell ref="A2:F2"/>
    <mergeCell ref="A1:F1"/>
  </mergeCells>
  <dataValidations count="2">
    <dataValidation sqref="E5:E44" showDropDown="0" showInputMessage="0" showErrorMessage="0" allowBlank="1" type="list">
      <formula1>"완료,진행,미착수,보류"</formula1>
    </dataValidation>
    <dataValidation sqref="A5:A44" showDropDown="0" showInputMessage="0" showErrorMessage="0" allowBlank="1" type="list">
      <formula1>"P0,P1,P2,P3"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2026-09-25T02:48:56Z</dcterms:created>
  <dcterms:modified xmlns:dcterms="http://purl.org/dc/terms/" xmlns:xsi="http://www.w3.org/2001/XMLSchema-instance" xsi:type="dcterms:W3CDTF">2026-09-25T02:48:57Z</dcterms:modified>
</cp:coreProperties>
</file>