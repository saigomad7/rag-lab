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단계별_실행도구" sheetId="3" state="visible" r:id="rId3"/>
    <sheet xmlns:r="http://schemas.openxmlformats.org/officeDocument/2006/relationships" name="소스별_매트릭스" sheetId="4" state="visible" r:id="rId4"/>
    <sheet xmlns:r="http://schemas.openxmlformats.org/officeDocument/2006/relationships" name="소스별_상세" sheetId="5" state="visible" r:id="rId5"/>
    <sheet xmlns:r="http://schemas.openxmlformats.org/officeDocument/2006/relationships" name="소스별_컬럼정의" sheetId="6" state="visible" r:id="rId6"/>
    <sheet xmlns:r="http://schemas.openxmlformats.org/officeDocument/2006/relationships" name="JSON_스키마" sheetId="7" state="visible" r:id="rId7"/>
    <sheet xmlns:r="http://schemas.openxmlformats.org/officeDocument/2006/relationships" name="처리흐름_도식" sheetId="8" state="visible" r:id="rId8"/>
    <sheet xmlns:r="http://schemas.openxmlformats.org/officeDocument/2006/relationships" name="처리흐름_판단기준" sheetId="9" state="visible" r:id="rId9"/>
    <sheet xmlns:r="http://schemas.openxmlformats.org/officeDocument/2006/relationships" name="P1_적재공통" sheetId="10" state="visible" r:id="rId10"/>
    <sheet xmlns:r="http://schemas.openxmlformats.org/officeDocument/2006/relationships" name="P1_검색" sheetId="11" state="visible" r:id="rId11"/>
    <sheet xmlns:r="http://schemas.openxmlformats.org/officeDocument/2006/relationships" name="P2_센싱" sheetId="12" state="visible" r:id="rId12"/>
    <sheet xmlns:r="http://schemas.openxmlformats.org/officeDocument/2006/relationships" name="P3_정형연계" sheetId="13" state="visible" r:id="rId13"/>
    <sheet xmlns:r="http://schemas.openxmlformats.org/officeDocument/2006/relationships" name="정형연계_패턴" sheetId="14" state="visible" r:id="rId14"/>
    <sheet xmlns:r="http://schemas.openxmlformats.org/officeDocument/2006/relationships" name="스모크20" sheetId="15" state="visible" r:id="rId15"/>
  </sheets>
  <definedNames>
    <definedName name="_xlnm._FilterDatabase" localSheetId="2" hidden="1">'단계별_실행도구'!$A$4:$F$34</definedName>
    <definedName name="_xlnm._FilterDatabase" localSheetId="3" hidden="1">'소스별_매트릭스'!$A$4:$J$11</definedName>
    <definedName name="_xlnm._FilterDatabase" localSheetId="4" hidden="1">'소스별_상세'!$A$4:$L$39</definedName>
    <definedName name="_xlnm._FilterDatabase" localSheetId="5" hidden="1">'소스별_컬럼정의'!$A$4:$L$102</definedName>
    <definedName name="_xlnm._FilterDatabase" localSheetId="8" hidden="1">'처리흐름_판단기준'!$A$4:$G$40</definedName>
    <definedName name="_xlnm._FilterDatabase" localSheetId="9" hidden="1">'P1_적재공통'!$A$4:$I$21</definedName>
    <definedName name="_xlnm._FilterDatabase" localSheetId="10" hidden="1">'P1_검색'!$A$4:$I$27</definedName>
    <definedName name="_xlnm._FilterDatabase" localSheetId="11" hidden="1">'P2_센싱'!$A$4:$I$17</definedName>
    <definedName name="_xlnm._FilterDatabase" localSheetId="12" hidden="1">'P3_정형연계'!$A$4:$I$37</definedName>
    <definedName name="_xlnm._FilterDatabase" localSheetId="14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Consolas"/>
      <sz val="9.5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b val="1"/>
      <color rgb="00185463"/>
      <sz val="13"/>
    </font>
    <font>
      <name val="맑은 고딕"/>
      <b val="1"/>
      <color rgb="001F1F1F"/>
      <sz val="10"/>
    </font>
    <font>
      <name val="맑은 고딕"/>
      <color rgb="001F1F1F"/>
      <sz val="10"/>
    </font>
    <font>
      <name val="맑은 고딕"/>
      <b val="1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  <fill>
      <patternFill patternType="solid">
        <fgColor rgb="00D7E9EC"/>
        <bgColor rgb="00D7E9EC"/>
      </patternFill>
    </fill>
    <fill>
      <patternFill patternType="solid">
        <fgColor rgb="00FBECD9"/>
        <bgColor rgb="00FBECD9"/>
      </patternFill>
    </fill>
    <fill>
      <patternFill patternType="solid">
        <fgColor rgb="00ECF2F2"/>
        <bgColor rgb="00ECF2F2"/>
      </patternFill>
    </fill>
    <fill>
      <patternFill patternType="solid">
        <fgColor rgb="00E8E1F5"/>
        <bgColor rgb="00E8E1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9" fontId="1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3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rev.9</t>
        </is>
      </c>
    </row>
    <row r="2">
      <c r="A2" s="2" t="inlineStr">
        <is>
          <t>2026-09-22 · rag_checklist_sheet_rev9.html 동일 내용 · 소스 7종 · 사내 현황 기입용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용도</t>
        </is>
      </c>
      <c r="B5" s="5" t="inlineStr">
        <is>
          <t>HTML 시트 rev8 엑셀판 · 사내 현황 기입용</t>
        </is>
      </c>
    </row>
    <row r="6">
      <c r="A6" s="4" t="inlineStr">
        <is>
          <t>입력 칸</t>
        </is>
      </c>
      <c r="B6" s="6" t="inlineStr">
        <is>
          <t>연노랑 칸 한정 —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(드롭다운 선택 시 서식 자동 적용)</t>
        </is>
      </c>
    </row>
    <row r="8">
      <c r="A8" s="4" t="inlineStr">
        <is>
          <t>자동 계산</t>
        </is>
      </c>
      <c r="B8" s="5" t="inlineStr">
        <is>
          <t>요약 · 소스별 매트릭스 = 수식 · 상세 시트 상태 변경 시 자동 반영 (직접 입력 금지)</t>
        </is>
      </c>
    </row>
    <row r="9">
      <c r="A9" s="4" t="inlineStr">
        <is>
          <t>입력 예</t>
        </is>
      </c>
      <c r="B9" s="5" t="inlineStr">
        <is>
          <t>P1_적재공통 S01 1행 — 현 수준: 'doc id 보유 · 재수집 중복 체크 적용' / 상태: 완료</t>
        </is>
      </c>
    </row>
    <row r="10">
      <c r="A10" s="4" t="inlineStr">
        <is>
          <t>우선순위</t>
        </is>
      </c>
      <c r="B10" s="5" t="inlineStr">
        <is>
          <t>P0 선행 · P1 후행 · P2 필요 시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 · 지표 정의서 양식: metric_catalog_template_rev1.xlsx · 코드: rag_lab/nb07_sql_router.py</t>
        </is>
      </c>
    </row>
    <row r="13">
      <c r="A13" s="4" t="inlineStr">
        <is>
          <t>소스별_컬럼정의</t>
        </is>
      </c>
      <c r="B13" s="5" t="inlineStr">
        <is>
          <t>소스별 필요 항목 + 저장 위치(공통 컬럼 / META_EXTRA / TAGS / ACL 행 / 본문 테이블) · K·L 열 기입 시 사내 매핑표</t>
        </is>
      </c>
    </row>
    <row r="14">
      <c r="A14" s="4" t="inlineStr">
        <is>
          <t>JSON_스키마</t>
        </is>
      </c>
      <c r="B14" s="5" t="inlineStr">
        <is>
          <t>META_EXTRA · TAGS · ACL JSON 형식 · 사용 규칙 · 사내 테이블 매핑 4가지 경우</t>
        </is>
      </c>
    </row>
    <row r="15">
      <c r="A15" s="4" t="inlineStr">
        <is>
          <t>기 확인값 (2026-09-19)</t>
        </is>
      </c>
      <c r="B15" s="5" t="inlineStr">
        <is>
          <t>doc id 원천키 보유 · 재수집 중복 체크 적용 · 작성일 / 수집일 분리 · 날짜 보유율 95% · 센싱 6축 전체 사용</t>
        </is>
      </c>
    </row>
    <row r="16">
      <c r="A16" s="4" t="inlineStr">
        <is>
          <t>도식 범례</t>
        </is>
      </c>
      <c r="B16" s="5" t="inlineStr">
        <is>
          <t>회색=입력 · 청록=핵심 처리 · 분홍=제거 · 흰색=일반 · 연두=청킹/메타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EXEC_REPORT</t>
        </is>
      </c>
      <c r="C40" s="9" t="inlineStr">
        <is>
          <t>임원 보고서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처리 흐름</t>
        </is>
      </c>
      <c r="B41" s="8" t="inlineStr">
        <is>
          <t>FLOW</t>
        </is>
      </c>
      <c r="C41" s="9" t="inlineStr">
        <is>
          <t>판단기준 전체</t>
        </is>
      </c>
      <c r="D41" s="8">
        <f>COUNTIF('처리흐름_판단기준'!$A$5:$A$40,"&lt;&gt;")</f>
        <v>36</v>
      </c>
      <c r="E41" s="8">
        <f>COUNTIF('처리흐름_판단기준'!$F$5:$F$40,"완료")</f>
        <v>0</v>
      </c>
      <c r="F41" s="8">
        <f>COUNTIF('처리흐름_판단기준'!$F$5:$F$40,"확인중")</f>
        <v>0</v>
      </c>
      <c r="G41" s="8">
        <f>D41-E41-F41-COUNTIF('처리흐름_판단기준'!$F$5:$F$40,"해당없음")</f>
        <v>36</v>
      </c>
      <c r="H41" s="10">
        <f>IF(D41=0,0,E41/D41)</f>
        <v>0.0</v>
      </c>
    </row>
    <row r="42">
      <c r="A42" s="3" t="inlineStr">
        <is>
          <t>합계</t>
        </is>
      </c>
      <c r="B42" s="3" t="inlineStr"/>
      <c r="C42" s="11" t="inlineStr"/>
      <c r="D42" s="3">
        <f>SUM(D5:D41)</f>
        <v>157</v>
      </c>
      <c r="E42" s="3">
        <f>SUM(E5:E41)</f>
        <v>3</v>
      </c>
      <c r="F42" s="3">
        <f>SUM(F5:F41)</f>
        <v>8</v>
      </c>
      <c r="G42" s="3">
        <f>SUM(G5:G41)</f>
        <v>146</v>
      </c>
      <c r="H42" s="12">
        <f>IF(D42=0,0,E42/D42)</f>
        <v>0.01910828025477707</v>
      </c>
    </row>
    <row r="44">
      <c r="A44" s="13" t="inlineStr">
        <is>
          <t>스모크 20 — 실패 유형 집계</t>
        </is>
      </c>
    </row>
    <row r="45">
      <c r="A45" s="3" t="inlineStr">
        <is>
          <t>실패 유형</t>
        </is>
      </c>
      <c r="B45" s="3" t="inlineStr"/>
      <c r="C45" s="3" t="inlineStr"/>
      <c r="D45" s="3" t="inlineStr">
        <is>
          <t>건수</t>
        </is>
      </c>
    </row>
    <row r="46">
      <c r="A46" s="14" t="inlineStr">
        <is>
          <t>정상</t>
        </is>
      </c>
      <c r="D46" s="14">
        <f>COUNTIF('스모크20'!$F$5:$F$24,A46)</f>
        <v>0</v>
      </c>
    </row>
    <row r="47">
      <c r="A47" s="14" t="inlineStr">
        <is>
          <t>①검색 누락</t>
        </is>
      </c>
      <c r="D47" s="14">
        <f>COUNTIF('스모크20'!$F$5:$F$24,A47)</f>
        <v>0</v>
      </c>
    </row>
    <row r="48">
      <c r="A48" s="14" t="inlineStr">
        <is>
          <t>②엉뚱한 청크</t>
        </is>
      </c>
      <c r="D48" s="14">
        <f>COUNTIF('스모크20'!$F$5:$F$24,A48)</f>
        <v>0</v>
      </c>
    </row>
    <row r="49">
      <c r="A49" s="14" t="inlineStr">
        <is>
          <t>③파싱 깨짐</t>
        </is>
      </c>
      <c r="D49" s="14">
        <f>COUNTIF('스모크20'!$F$5:$F$24,A49)</f>
        <v>0</v>
      </c>
    </row>
    <row r="50">
      <c r="A50" s="14" t="inlineStr">
        <is>
          <t>④답변 환각</t>
        </is>
      </c>
      <c r="D50" s="14">
        <f>COUNTIF('스모크20'!$F$5:$F$24,A50)</f>
        <v>0</v>
      </c>
    </row>
    <row r="51">
      <c r="A51" s="14" t="inlineStr">
        <is>
          <t>⑤권한 노출</t>
        </is>
      </c>
      <c r="D51" s="14">
        <f>COUNTIF('스모크20'!$F$5:$F$24,A51)</f>
        <v>0</v>
      </c>
    </row>
    <row r="52">
      <c r="A52" s="15" t="inlineStr">
        <is>
          <t>미기입</t>
        </is>
      </c>
      <c r="D52" s="15">
        <f>COUNTIF('스모크20'!$F$5:$F$24,"")</f>
        <v>20</v>
      </c>
    </row>
  </sheetData>
  <mergeCells count="2">
    <mergeCell ref="A2:H2"/>
    <mergeCell ref="A1:H1"/>
  </mergeCells>
  <conditionalFormatting sqref="E5:E42">
    <cfRule type="cellIs" priority="1" operator="greaterThan" dxfId="0">
      <formula>0</formula>
    </cfRule>
  </conditionalFormatting>
  <conditionalFormatting sqref="F5:F42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54" customWidth="1" min="4" max="4"/>
    <col width="30" customWidth="1" min="5" max="5"/>
    <col width="10" customWidth="1" min="6" max="6"/>
  </cols>
  <sheetData>
    <row r="1">
      <c r="A1" s="16" t="inlineStr">
        <is>
          <t>단계별 실행 도구 — 체크리스트 단계(S번호) ↔ 노트북 ↔ 확인 지표</t>
        </is>
      </c>
    </row>
    <row r="2">
      <c r="A2" s="2" t="inlineStr">
        <is>
          <t>각 단계를 무엇으로 확인하고 결과를 어디에 기록하는지 대응표 · 실행 순서는 docs/rag_runbook_rev1.html</t>
        </is>
      </c>
    </row>
    <row r="4">
      <c r="A4" s="3" t="inlineStr">
        <is>
          <t>단계</t>
        </is>
      </c>
      <c r="B4" s="3" t="inlineStr">
        <is>
          <t>이름</t>
        </is>
      </c>
      <c r="C4" s="3" t="inlineStr">
        <is>
          <t>실행 도구(노트북)</t>
        </is>
      </c>
      <c r="D4" s="3" t="inlineStr">
        <is>
          <t>확인 지표 · 합격 기준</t>
        </is>
      </c>
      <c r="E4" s="3" t="inlineStr">
        <is>
          <t>결과 기록 위치</t>
        </is>
      </c>
      <c r="F4" s="3" t="inlineStr">
        <is>
          <t>상태</t>
        </is>
      </c>
    </row>
    <row r="5">
      <c r="A5" s="17" t="inlineStr">
        <is>
          <t>S00</t>
        </is>
      </c>
      <c r="B5" s="18" t="inlineStr">
        <is>
          <t>적재 검증</t>
        </is>
      </c>
      <c r="C5" s="18" t="inlineStr">
        <is>
          <t>nb00_pipeline_check</t>
        </is>
      </c>
      <c r="D5" s="18" t="inlineStr">
        <is>
          <t>미달 항목 0 건 · doc_id 유일성 · 메타 충족률 · 고아 청크 · 인덱싱 일치</t>
        </is>
      </c>
      <c r="E5" s="18" t="inlineStr">
        <is>
          <t>이력대장 3_파이프라인점검</t>
        </is>
      </c>
      <c r="F5" s="19" t="inlineStr"/>
    </row>
    <row r="6">
      <c r="A6" s="17" t="inlineStr">
        <is>
          <t>S01</t>
        </is>
      </c>
      <c r="B6" s="18" t="inlineStr">
        <is>
          <t>수집</t>
        </is>
      </c>
      <c r="C6" s="18" t="inlineStr">
        <is>
          <t>nb00 · nb01_inventory</t>
        </is>
      </c>
      <c r="D6" s="18" t="inlineStr">
        <is>
          <t>소스별 문서 수 · 기간 분포 · 날짜 누락률 · 본문 중복률</t>
        </is>
      </c>
      <c r="E6" s="18" t="inlineStr">
        <is>
          <t>이력대장 3_파이프라인점검</t>
        </is>
      </c>
      <c r="F6" s="19" t="inlineStr"/>
    </row>
    <row r="7">
      <c r="A7" s="17" t="inlineStr">
        <is>
          <t>S02</t>
        </is>
      </c>
      <c r="B7" s="18" t="inlineStr">
        <is>
          <t>파싱</t>
        </is>
      </c>
      <c r="C7" s="18" t="inlineStr">
        <is>
          <t>nb02_parse_chunk</t>
        </is>
      </c>
      <c r="D7" s="18" t="inlineStr">
        <is>
          <t>노이즈 잔존율 · 표 손상 · 문장 중간 절단률</t>
        </is>
      </c>
      <c r="E7" s="18" t="inlineStr">
        <is>
          <t>이력대장 3_파이프라인점검</t>
        </is>
      </c>
      <c r="F7" s="19" t="inlineStr"/>
    </row>
    <row r="8">
      <c r="A8" s="17" t="inlineStr">
        <is>
          <t>S03</t>
        </is>
      </c>
      <c r="B8" s="18" t="inlineStr">
        <is>
          <t>청킹</t>
        </is>
      </c>
      <c r="C8" s="18" t="inlineStr">
        <is>
          <t>nb02 · nb00</t>
        </is>
      </c>
      <c r="D8" s="18" t="inlineStr">
        <is>
          <t>청크 길이 분포 · 초단문 비율 · 순번 결손 · Context Recall</t>
        </is>
      </c>
      <c r="E8" s="18" t="inlineStr">
        <is>
          <t>이력대장 3_파이프라인점검</t>
        </is>
      </c>
      <c r="F8" s="19" t="inlineStr"/>
    </row>
    <row r="9">
      <c r="A9" s="17" t="inlineStr">
        <is>
          <t>S04</t>
        </is>
      </c>
      <c r="B9" s="18" t="inlineStr">
        <is>
          <t>임베딩</t>
        </is>
      </c>
      <c r="C9" s="18" t="inlineStr">
        <is>
          <t>nb00 [6] · nb04_milvus</t>
        </is>
      </c>
      <c r="D9" s="18" t="inlineStr">
        <is>
          <t>토큰 p95 · EMBED_MAX_LENGTH 초과율</t>
        </is>
      </c>
      <c r="E9" s="18" t="inlineStr">
        <is>
          <t>이력대장 3_파이프라인점검</t>
        </is>
      </c>
      <c r="F9" s="19" t="inlineStr"/>
    </row>
    <row r="10">
      <c r="A10" s="17" t="inlineStr">
        <is>
          <t>S05</t>
        </is>
      </c>
      <c r="B10" s="18" t="inlineStr">
        <is>
          <t>메타데이터</t>
        </is>
      </c>
      <c r="C10" s="18" t="inlineStr">
        <is>
          <t>nb00 [4] · nb01</t>
        </is>
      </c>
      <c r="D10" s="18" t="inlineStr">
        <is>
          <t>소스별 필수 메타 충족률 (기준 0.95)</t>
        </is>
      </c>
      <c r="E10" s="18" t="inlineStr">
        <is>
          <t>체크리스트 소스별_컬럼정의</t>
        </is>
      </c>
      <c r="F10" s="19" t="inlineStr"/>
    </row>
    <row r="11">
      <c r="A11" s="17" t="inlineStr">
        <is>
          <t>S06</t>
        </is>
      </c>
      <c r="B11" s="18" t="inlineStr">
        <is>
          <t>벡터 DB</t>
        </is>
      </c>
      <c r="C11" s="18" t="inlineStr">
        <is>
          <t>nb04_milvus · nb00 [7]</t>
        </is>
      </c>
      <c r="D11" s="18" t="inlineStr">
        <is>
          <t>인덱싱 건수 / 청크 건수 · 필드 구성 · 자기검색 적중률</t>
        </is>
      </c>
      <c r="E11" s="18" t="inlineStr">
        <is>
          <t>이력대장 3_파이프라인점검</t>
        </is>
      </c>
      <c r="F11" s="19" t="inlineStr"/>
    </row>
    <row r="12">
      <c r="A12" s="17" t="inlineStr">
        <is>
          <t>S07</t>
        </is>
      </c>
      <c r="B12" s="18" t="inlineStr">
        <is>
          <t>질의 입력</t>
        </is>
      </c>
      <c r="C12" s="18" t="inlineStr">
        <is>
          <t>nb05_smoke_test</t>
        </is>
      </c>
      <c r="D12" s="18" t="inlineStr">
        <is>
          <t>스모크 20문항 판정 · 실패 유형 5종 집계</t>
        </is>
      </c>
      <c r="E12" s="18" t="inlineStr">
        <is>
          <t>평가팩 스모크 · 체크리스트 스모크20</t>
        </is>
      </c>
      <c r="F12" s="19" t="inlineStr"/>
    </row>
    <row r="13">
      <c r="A13" s="17" t="inlineStr">
        <is>
          <t>S08</t>
        </is>
      </c>
      <c r="B13" s="18" t="inlineStr">
        <is>
          <t>질의 분석 · 분해</t>
        </is>
      </c>
      <c r="C13" s="18" t="inlineStr">
        <is>
          <t>nb13 (decompose 노드)</t>
        </is>
      </c>
      <c r="D13" s="18" t="inlineStr">
        <is>
          <t>분해 적용 시 Recall 변화 · 하위 질의 수</t>
        </is>
      </c>
      <c r="E13" s="18" t="inlineStr">
        <is>
          <t>평가팩 3_평가_실행기록</t>
        </is>
      </c>
      <c r="F13" s="19" t="inlineStr"/>
    </row>
    <row r="14">
      <c r="A14" s="17" t="inlineStr">
        <is>
          <t>S09</t>
        </is>
      </c>
      <c r="B14" s="18" t="inlineStr">
        <is>
          <t>BM25</t>
        </is>
      </c>
      <c r="C14" s="18" t="inlineStr">
        <is>
          <t>nb03_bm25_tokenizer</t>
        </is>
      </c>
      <c r="D14" s="18" t="inlineStr">
        <is>
          <t>토크나이저별(공백 · 조사 · Kiwi) 적중률</t>
        </is>
      </c>
      <c r="E14" s="18" t="inlineStr">
        <is>
          <t>평가팩 3_평가_실행기록</t>
        </is>
      </c>
      <c r="F14" s="19" t="inlineStr"/>
    </row>
    <row r="15">
      <c r="A15" s="17" t="inlineStr">
        <is>
          <t>S10</t>
        </is>
      </c>
      <c r="B15" s="18" t="inlineStr">
        <is>
          <t>시맨틱 검색</t>
        </is>
      </c>
      <c r="C15" s="18" t="inlineStr">
        <is>
          <t>nb04 · nb06_retrieval_eval</t>
        </is>
      </c>
      <c r="D15" s="18" t="inlineStr">
        <is>
          <t>dense · sparse 단독 Recall@k</t>
        </is>
      </c>
      <c r="E15" s="18" t="inlineStr">
        <is>
          <t>평가팩 3_평가_실행기록</t>
        </is>
      </c>
      <c r="F15" s="19" t="inlineStr"/>
    </row>
    <row r="16">
      <c r="A16" s="17" t="inlineStr">
        <is>
          <t>S11</t>
        </is>
      </c>
      <c r="B16" s="18" t="inlineStr">
        <is>
          <t>결합 · 다양성</t>
        </is>
      </c>
      <c r="C16" s="18" t="inlineStr">
        <is>
          <t>nb06 · nb13 (v1 · v3)</t>
        </is>
      </c>
      <c r="D16" s="18" t="inlineStr">
        <is>
          <t>RRF 결합 · MMR 적용 전후 Precision · Context Precision</t>
        </is>
      </c>
      <c r="E16" s="18" t="inlineStr">
        <is>
          <t>이력대장 6_프리셋비교</t>
        </is>
      </c>
      <c r="F16" s="19" t="inlineStr"/>
    </row>
    <row r="17">
      <c r="A17" s="17" t="inlineStr">
        <is>
          <t>S12</t>
        </is>
      </c>
      <c r="B17" s="18" t="inlineStr">
        <is>
          <t>리랭크</t>
        </is>
      </c>
      <c r="C17" s="18" t="inlineStr">
        <is>
          <t>nb06 · nb13 (v2)</t>
        </is>
      </c>
      <c r="D17" s="18" t="inlineStr">
        <is>
          <t>MRR · nDCG@10 개선 폭 · 지연 증가</t>
        </is>
      </c>
      <c r="E17" s="18" t="inlineStr">
        <is>
          <t>이력대장 6_프리셋비교</t>
        </is>
      </c>
      <c r="F17" s="19" t="inlineStr"/>
    </row>
    <row r="18">
      <c r="A18" s="17" t="inlineStr">
        <is>
          <t>S13</t>
        </is>
      </c>
      <c r="B18" s="18" t="inlineStr">
        <is>
          <t>컨텍스트</t>
        </is>
      </c>
      <c r="C18" s="18" t="inlineStr">
        <is>
          <t>nb10 · nb13 (grade 노드)</t>
        </is>
      </c>
      <c r="D18" s="18" t="inlineStr">
        <is>
          <t>Context Recall · Context Precision</t>
        </is>
      </c>
      <c r="E18" s="18" t="inlineStr">
        <is>
          <t>평가팩 7_답변평가</t>
        </is>
      </c>
      <c r="F18" s="19" t="inlineStr"/>
    </row>
    <row r="19">
      <c r="A19" s="17" t="inlineStr">
        <is>
          <t>S14</t>
        </is>
      </c>
      <c r="B19" s="18" t="inlineStr">
        <is>
          <t>LLM 답변</t>
        </is>
      </c>
      <c r="C19" s="18" t="inlineStr">
        <is>
          <t>nb10_answer_eval</t>
        </is>
      </c>
      <c r="D19" s="18" t="inlineStr">
        <is>
          <t>Faithfulness · Answer Correctness · Citation · Refusal</t>
        </is>
      </c>
      <c r="E19" s="18" t="inlineStr">
        <is>
          <t>평가팩 7_답변평가 · 8_표준지표</t>
        </is>
      </c>
      <c r="F19" s="19" t="inlineStr"/>
    </row>
    <row r="20">
      <c r="A20" s="17" t="inlineStr">
        <is>
          <t>S15</t>
        </is>
      </c>
      <c r="B20" s="18" t="inlineStr">
        <is>
          <t>평가</t>
        </is>
      </c>
      <c r="C20" s="18" t="inlineStr">
        <is>
          <t>nb08 · nb09 · nb11 · nb12</t>
        </is>
      </c>
      <c r="D20" s="18" t="inlineStr">
        <is>
          <t>골든셋 구성 · 근거 확보율 · 회차별 지표</t>
        </is>
      </c>
      <c r="E20" s="18" t="inlineStr">
        <is>
          <t>평가팩 전체 · 이력대장 7_지표현황</t>
        </is>
      </c>
      <c r="F20" s="19" t="inlineStr"/>
    </row>
    <row r="21">
      <c r="A21" s="20" t="inlineStr">
        <is>
          <t>S16</t>
        </is>
      </c>
      <c r="B21" s="21" t="inlineStr">
        <is>
          <t>센싱 축</t>
        </is>
      </c>
      <c r="C21" s="21" t="inlineStr">
        <is>
          <t>— (Phase 2 · 미착수)</t>
        </is>
      </c>
      <c r="D21" s="21" t="inlineStr">
        <is>
          <t>축별 신호 정의</t>
        </is>
      </c>
      <c r="E21" s="21" t="inlineStr">
        <is>
          <t>이력대장 9_다음할일</t>
        </is>
      </c>
      <c r="F21" s="22" t="inlineStr"/>
    </row>
    <row r="22">
      <c r="A22" s="20" t="inlineStr">
        <is>
          <t>S17</t>
        </is>
      </c>
      <c r="B22" s="21" t="inlineStr">
        <is>
          <t>상시 질의</t>
        </is>
      </c>
      <c r="C22" s="21" t="inlineStr">
        <is>
          <t>— (Phase 2 · 미착수)</t>
        </is>
      </c>
      <c r="D22" s="21" t="inlineStr">
        <is>
          <t>축당 질의 2~4개</t>
        </is>
      </c>
      <c r="E22" s="21" t="inlineStr">
        <is>
          <t>이력대장 9_다음할일</t>
        </is>
      </c>
      <c r="F22" s="22" t="inlineStr"/>
    </row>
    <row r="23">
      <c r="A23" s="20" t="inlineStr">
        <is>
          <t>S18</t>
        </is>
      </c>
      <c r="B23" s="21" t="inlineStr">
        <is>
          <t>검색 · 수집</t>
        </is>
      </c>
      <c r="C23" s="21" t="inlineStr">
        <is>
          <t>— (Phase 2 · 미착수)</t>
        </is>
      </c>
      <c r="D23" s="21" t="inlineStr">
        <is>
          <t>기간 창 비교</t>
        </is>
      </c>
      <c r="E23" s="21" t="inlineStr">
        <is>
          <t>이력대장 9_다음할일</t>
        </is>
      </c>
      <c r="F23" s="22" t="inlineStr"/>
    </row>
    <row r="24">
      <c r="A24" s="20" t="inlineStr">
        <is>
          <t>S19</t>
        </is>
      </c>
      <c r="B24" s="21" t="inlineStr">
        <is>
          <t>변화 감지</t>
        </is>
      </c>
      <c r="C24" s="21" t="inlineStr">
        <is>
          <t>— (Phase 2 · 미착수)</t>
        </is>
      </c>
      <c r="D24" s="21" t="inlineStr">
        <is>
          <t>이상 점수 · 임계</t>
        </is>
      </c>
      <c r="E24" s="21" t="inlineStr">
        <is>
          <t>이력대장 9_다음할일</t>
        </is>
      </c>
      <c r="F24" s="22" t="inlineStr"/>
    </row>
    <row r="25">
      <c r="A25" s="20" t="inlineStr">
        <is>
          <t>S20</t>
        </is>
      </c>
      <c r="B25" s="21" t="inlineStr">
        <is>
          <t>요약 · 알림</t>
        </is>
      </c>
      <c r="C25" s="21" t="inlineStr">
        <is>
          <t>— (Phase 2 · 미착수)</t>
        </is>
      </c>
      <c r="D25" s="21" t="inlineStr">
        <is>
          <t>알림 정확도</t>
        </is>
      </c>
      <c r="E25" s="21" t="inlineStr">
        <is>
          <t>이력대장 9_다음할일</t>
        </is>
      </c>
      <c r="F25" s="22" t="inlineStr"/>
    </row>
    <row r="26">
      <c r="A26" s="20" t="inlineStr">
        <is>
          <t>S21</t>
        </is>
      </c>
      <c r="B26" s="21" t="inlineStr">
        <is>
          <t>백테스트</t>
        </is>
      </c>
      <c r="C26" s="21" t="inlineStr">
        <is>
          <t>— (Phase 2 · 미착수)</t>
        </is>
      </c>
      <c r="D26" s="21" t="inlineStr">
        <is>
          <t>과거 사건 재현율</t>
        </is>
      </c>
      <c r="E26" s="21" t="inlineStr">
        <is>
          <t>이력대장 9_다음할일</t>
        </is>
      </c>
      <c r="F26" s="22" t="inlineStr"/>
    </row>
    <row r="27">
      <c r="A27" s="17" t="inlineStr">
        <is>
          <t>S22</t>
        </is>
      </c>
      <c r="B27" s="18" t="inlineStr">
        <is>
          <t>정형 자산 카탈로그</t>
        </is>
      </c>
      <c r="C27" s="18" t="inlineStr">
        <is>
          <t>nb07_sql_router [1]</t>
        </is>
      </c>
      <c r="D27" s="18" t="inlineStr">
        <is>
          <t>지표 정의서 채움률</t>
        </is>
      </c>
      <c r="E27" s="18" t="inlineStr">
        <is>
          <t>지표정의서 양식 xlsx</t>
        </is>
      </c>
      <c r="F27" s="19" t="inlineStr"/>
    </row>
    <row r="28">
      <c r="A28" s="17" t="inlineStr">
        <is>
          <t>S23</t>
        </is>
      </c>
      <c r="B28" s="18" t="inlineStr">
        <is>
          <t>시맨틱 뷰 · 허용목록</t>
        </is>
      </c>
      <c r="C28" s="18" t="inlineStr">
        <is>
          <t>nb07 [2]</t>
        </is>
      </c>
      <c r="D28" s="18" t="inlineStr">
        <is>
          <t>allow_list 적용 여부</t>
        </is>
      </c>
      <c r="E28" s="18" t="inlineStr">
        <is>
          <t>지표정의서 allow_list</t>
        </is>
      </c>
      <c r="F28" s="19" t="inlineStr"/>
    </row>
    <row r="29">
      <c r="A29" s="17" t="inlineStr">
        <is>
          <t>S24</t>
        </is>
      </c>
      <c r="B29" s="18" t="inlineStr">
        <is>
          <t>질의 라우팅</t>
        </is>
      </c>
      <c r="C29" s="18" t="inlineStr">
        <is>
          <t>nb07 [3] · lab_graph route</t>
        </is>
      </c>
      <c r="D29" s="18" t="inlineStr">
        <is>
          <t>라우팅 정확도 (sql · rag · hybrid)</t>
        </is>
      </c>
      <c r="E29" s="18" t="inlineStr">
        <is>
          <t>평가팩 3_평가_실행기록</t>
        </is>
      </c>
      <c r="F29" s="19" t="inlineStr"/>
    </row>
    <row r="30">
      <c r="A30" s="17" t="inlineStr">
        <is>
          <t>S25</t>
        </is>
      </c>
      <c r="B30" s="18" t="inlineStr">
        <is>
          <t>SQL 생성 · 검증</t>
        </is>
      </c>
      <c r="C30" s="18" t="inlineStr">
        <is>
          <t>nb07 [4~6]</t>
        </is>
      </c>
      <c r="D30" s="18" t="inlineStr">
        <is>
          <t>정적 검증 차단률 100% · 실행 정확도(EX)</t>
        </is>
      </c>
      <c r="E30" s="18" t="inlineStr">
        <is>
          <t>이력대장 7_지표현황</t>
        </is>
      </c>
      <c r="F30" s="19" t="inlineStr"/>
    </row>
    <row r="31">
      <c r="A31" s="17" t="inlineStr">
        <is>
          <t>S26</t>
        </is>
      </c>
      <c r="B31" s="18" t="inlineStr">
        <is>
          <t>정형 × 비정형 결합</t>
        </is>
      </c>
      <c r="C31" s="18" t="inlineStr">
        <is>
          <t>nb07 [7]</t>
        </is>
      </c>
      <c r="D31" s="18" t="inlineStr">
        <is>
          <t>결합 답변 수치 일치율</t>
        </is>
      </c>
      <c r="E31" s="18" t="inlineStr">
        <is>
          <t>평가팩 7_답변평가</t>
        </is>
      </c>
      <c r="F31" s="19" t="inlineStr"/>
    </row>
    <row r="32">
      <c r="A32" s="17" t="inlineStr">
        <is>
          <t>S27</t>
        </is>
      </c>
      <c r="B32" s="18" t="inlineStr">
        <is>
          <t>수치 정합성 · 신뢰</t>
        </is>
      </c>
      <c r="C32" s="18" t="inlineStr">
        <is>
          <t>nb07 [8]</t>
        </is>
      </c>
      <c r="D32" s="18" t="inlineStr">
        <is>
          <t>DB 우선 원칙 준수 · 시점 병기</t>
        </is>
      </c>
      <c r="E32" s="18" t="inlineStr">
        <is>
          <t>평가팩 7_답변평가</t>
        </is>
      </c>
      <c r="F32" s="19" t="inlineStr"/>
    </row>
    <row r="33">
      <c r="A33" s="17" t="inlineStr">
        <is>
          <t>S28</t>
        </is>
      </c>
      <c r="B33" s="18" t="inlineStr">
        <is>
          <t>권한 · 보안</t>
        </is>
      </c>
      <c r="C33" s="18" t="inlineStr">
        <is>
          <t>nb07 · lab_sql.validate</t>
        </is>
      </c>
      <c r="D33" s="18" t="inlineStr">
        <is>
          <t>차단 규칙(SELECT 전용 · 원본 테이블 · 다중문) 통과</t>
        </is>
      </c>
      <c r="E33" s="18" t="inlineStr">
        <is>
          <t>이력대장 8_이슈결정</t>
        </is>
      </c>
      <c r="F33" s="19" t="inlineStr"/>
    </row>
    <row r="34">
      <c r="A34" s="17" t="inlineStr">
        <is>
          <t>S29</t>
        </is>
      </c>
      <c r="B34" s="18" t="inlineStr">
        <is>
          <t>평가 · 운영</t>
        </is>
      </c>
      <c r="C34" s="18" t="inlineStr">
        <is>
          <t>nb07 [9] · nb13</t>
        </is>
      </c>
      <c r="D34" s="18" t="inlineStr">
        <is>
          <t>EX · p95 지연 · 재현성</t>
        </is>
      </c>
      <c r="E34" s="18" t="inlineStr">
        <is>
          <t>이력대장 7_지표현황</t>
        </is>
      </c>
      <c r="F34" s="19" t="inlineStr"/>
    </row>
  </sheetData>
  <autoFilter ref="A4:F34"/>
  <mergeCells count="2">
    <mergeCell ref="A2:F2"/>
    <mergeCell ref="A1:F1"/>
  </mergeCells>
  <dataValidations count="1">
    <dataValidation sqref="F5:F34" showDropDown="0" showInputMessage="0" showErrorMessage="0" allowBlank="1" type="list">
      <formula1>"완료,진행,미착수,해당없음"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23" t="inlineStr">
        <is>
          <t>뉴스</t>
        </is>
      </c>
      <c r="B5" s="24" t="inlineStr">
        <is>
          <t>NEWS</t>
        </is>
      </c>
      <c r="C5" s="24" t="inlineStr">
        <is>
          <t>사외</t>
        </is>
      </c>
      <c r="D5" s="25" t="n"/>
      <c r="E5" s="24" t="str">
        <f>IFERROR(INDEX('소스별_상세'!$I$5:$I$39,MATCH($A5&amp;"|"&amp;E$4,'소스별_상세'!$L$5:$L$39,0)),"")&amp;" · 재송고 중복 (P1)"</f>
        <v>확인중 · 재송고 중복 (P1)</v>
      </c>
      <c r="F5" s="24" t="str">
        <f>IFERROR(INDEX('소스별_상세'!$I$5:$I$39,MATCH($A5&amp;"|"&amp;F$4,'소스별_상세'!$L$5:$L$39,0)),"")&amp;" · 본문만 추출 (P1)"</f>
        <v>미확인 · 본문만 추출 (P1)</v>
      </c>
      <c r="G5" s="24" t="str">
        <f>IFERROR(INDEX('소스별_상세'!$I$5:$I$39,MATCH($A5&amp;"|"&amp;G$4,'소스별_상세'!$L$5:$L$39,0)),"")&amp;" · 기사 단위 (P0)"</f>
        <v>미확인 · 기사 단위 (P0)</v>
      </c>
      <c r="H5" s="24" t="str">
        <f>IFERROR(INDEX('소스별_상세'!$I$5:$I$39,MATCH($A5&amp;"|"&amp;H$4,'소스별_상세'!$L$5:$L$39,0)),"")&amp;" · 태그 = 센싱 기반 (P0)"</f>
        <v>미확인 · 태그 = 센싱 기반 (P0)</v>
      </c>
      <c r="I5" s="24" t="str">
        <f>IFERROR(INDEX('소스별_상세'!$I$5:$I$39,MATCH($A5&amp;"|"&amp;I$4,'소스별_상세'!$L$5:$L$39,0)),"")&amp;" · 전체 공개 (P2)"</f>
        <v>미확인 · 전체 공개 (P2)</v>
      </c>
      <c r="J5" s="24" t="inlineStr">
        <is>
          <t>0</t>
        </is>
      </c>
    </row>
    <row r="6" ht="34" customHeight="1">
      <c r="A6" s="23" t="inlineStr">
        <is>
          <t>증권사 리포트</t>
        </is>
      </c>
      <c r="B6" s="24" t="inlineStr">
        <is>
          <t>BROKER</t>
        </is>
      </c>
      <c r="C6" s="24" t="inlineStr">
        <is>
          <t>사외</t>
        </is>
      </c>
      <c r="D6" s="25" t="n"/>
      <c r="E6" s="24" t="str">
        <f>IFERROR(INDEX('소스별_상세'!$I$5:$I$39,MATCH($A6&amp;"|"&amp;E$4,'소스별_상세'!$L$5:$L$39,0)),"")&amp;" · 수정본 처리 (P1)"</f>
        <v>확인중 · 수정본 처리 (P1)</v>
      </c>
      <c r="F6" s="24" t="str">
        <f>IFERROR(INDEX('소스별_상세'!$I$5:$I$39,MATCH($A6&amp;"|"&amp;F$4,'소스별_상세'!$L$5:$L$39,0)),"")&amp;" · 표 · 수치 보존 (P0)"</f>
        <v>미확인 · 표 · 수치 보존 (P0)</v>
      </c>
      <c r="G6" s="24" t="str">
        <f>IFERROR(INDEX('소스별_상세'!$I$5:$I$39,MATCH($A6&amp;"|"&amp;G$4,'소스별_상세'!$L$5:$L$39,0)),"")&amp;" · 섹션 + 표 분리 (P0)"</f>
        <v>미확인 · 섹션 + 표 분리 (P0)</v>
      </c>
      <c r="H6" s="24" t="str">
        <f>IFERROR(INDEX('소스별_상세'!$I$5:$I$39,MATCH($A6&amp;"|"&amp;H$4,'소스별_상세'!$L$5:$L$39,0)),"")&amp;" · 증권사 · 종목 (P1)"</f>
        <v>미확인 · 증권사 · 종목 (P1)</v>
      </c>
      <c r="I6" s="24" t="str">
        <f>IFERROR(INDEX('소스별_상세'!$I$5:$I$39,MATCH($A6&amp;"|"&amp;I$4,'소스별_상세'!$L$5:$L$39,0)),"")&amp;" · 구독 범위 (P1)"</f>
        <v>미확인 · 구독 범위 (P1)</v>
      </c>
      <c r="J6" s="24" t="inlineStr">
        <is>
          <t>0~1</t>
        </is>
      </c>
    </row>
    <row r="7" ht="34" customHeight="1">
      <c r="A7" s="23" t="inlineStr">
        <is>
          <t>기관 보고서</t>
        </is>
      </c>
      <c r="B7" s="24" t="inlineStr">
        <is>
          <t>INSTITUTION</t>
        </is>
      </c>
      <c r="C7" s="24" t="inlineStr">
        <is>
          <t>사외</t>
        </is>
      </c>
      <c r="D7" s="25" t="n"/>
      <c r="E7" s="24" t="str">
        <f>IFERROR(INDEX('소스별_상세'!$I$5:$I$39,MATCH($A7&amp;"|"&amp;E$4,'소스별_상세'!$L$5:$L$39,0)),"")&amp;" · 정기본 누락 (P1)"</f>
        <v>확인중 · 정기본 누락 (P1)</v>
      </c>
      <c r="F7" s="24" t="str">
        <f>IFERROR(INDEX('소스별_상세'!$I$5:$I$39,MATCH($A7&amp;"|"&amp;F$4,'소스별_상세'!$L$5:$L$39,0)),"")&amp;" · 헤딩 · 표 (P1)"</f>
        <v>미확인 · 헤딩 · 표 (P1)</v>
      </c>
      <c r="G7" s="24" t="str">
        <f>IFERROR(INDEX('소스별_상세'!$I$5:$I$39,MATCH($A7&amp;"|"&amp;G$4,'소스별_상세'!$L$5:$L$39,0)),"")&amp;" · 헤딩 단위 (P1)"</f>
        <v>미확인 · 헤딩 단위 (P1)</v>
      </c>
      <c r="H7" s="24" t="str">
        <f>IFERROR(INDEX('소스별_상세'!$I$5:$I$39,MATCH($A7&amp;"|"&amp;H$4,'소스별_상세'!$L$5:$L$39,0)),"")&amp;" · 기준 시점 ≠ 발행일 (P0)"</f>
        <v>미확인 · 기준 시점 ≠ 발행일 (P0)</v>
      </c>
      <c r="I7" s="24" t="str">
        <f>IFERROR(INDEX('소스별_상세'!$I$5:$I$39,MATCH($A7&amp;"|"&amp;I$4,'소스별_상세'!$L$5:$L$39,0)),"")&amp;" · 라이선스 (P2)"</f>
        <v>미확인 · 라이선스 (P2)</v>
      </c>
      <c r="J7" s="24" t="inlineStr">
        <is>
          <t>0~1</t>
        </is>
      </c>
    </row>
    <row r="8" ht="34" customHeight="1">
      <c r="A8" s="23" t="inlineStr">
        <is>
          <t>메일</t>
        </is>
      </c>
      <c r="B8" s="24" t="inlineStr">
        <is>
          <t>EMAIL</t>
        </is>
      </c>
      <c r="C8" s="24" t="inlineStr">
        <is>
          <t>사내</t>
        </is>
      </c>
      <c r="D8" s="25" t="n"/>
      <c r="E8" s="24" t="str">
        <f>IFERROR(INDEX('소스별_상세'!$I$5:$I$39,MATCH($A8&amp;"|"&amp;E$4,'소스별_상세'!$L$5:$L$39,0)),"")&amp;" · 대상 범위 · 첨부 (P0)"</f>
        <v>확인중 · 대상 범위 · 첨부 (P0)</v>
      </c>
      <c r="F8" s="24" t="str">
        <f>IFERROR(INDEX('소스별_상세'!$I$5:$I$39,MATCH($A8&amp;"|"&amp;F$4,'소스별_상세'!$L$5:$L$39,0)),"")&amp;" · 인용 · 서명 제거 (P0)"</f>
        <v>미확인 · 인용 · 서명 제거 (P0)</v>
      </c>
      <c r="G8" s="24" t="str">
        <f>IFERROR(INDEX('소스별_상세'!$I$5:$I$39,MATCH($A8&amp;"|"&amp;G$4,'소스별_상세'!$L$5:$L$39,0)),"")&amp;" · 스레드 단위 (P0)"</f>
        <v>미확인 · 스레드 단위 (P0)</v>
      </c>
      <c r="H8" s="24" t="str">
        <f>IFERROR(INDEX('소스별_상세'!$I$5:$I$39,MATCH($A8&amp;"|"&amp;H$4,'소스별_상세'!$L$5:$L$39,0)),"")&amp;" · thread_id (P1)"</f>
        <v>미확인 · thread_id (P1)</v>
      </c>
      <c r="I8" s="24" t="str">
        <f>IFERROR(INDEX('소스별_상세'!$I$5:$I$39,MATCH($A8&amp;"|"&amp;I$4,'소스별_상세'!$L$5:$L$39,0)),"")&amp;" · 발신 + 수신자만 (P0)"</f>
        <v>미확인 · 발신 + 수신자만 (P0)</v>
      </c>
      <c r="J8" s="24" t="inlineStr">
        <is>
          <t>1~2</t>
        </is>
      </c>
    </row>
    <row r="9" ht="34" customHeight="1">
      <c r="A9" s="23" t="inlineStr">
        <is>
          <t>회의록</t>
        </is>
      </c>
      <c r="B9" s="24" t="inlineStr">
        <is>
          <t>MEETING</t>
        </is>
      </c>
      <c r="C9" s="24" t="inlineStr">
        <is>
          <t>사내</t>
        </is>
      </c>
      <c r="D9" s="25" t="n"/>
      <c r="E9" s="24" t="str">
        <f>IFERROR(INDEX('소스별_상세'!$I$5:$I$39,MATCH($A9&amp;"|"&amp;E$4,'소스별_상세'!$L$5:$L$39,0)),"")&amp;" · 양식 통일 (P1)"</f>
        <v>확인중 · 양식 통일 (P1)</v>
      </c>
      <c r="F9" s="24" t="str">
        <f>IFERROR(INDEX('소스별_상세'!$I$5:$I$39,MATCH($A9&amp;"|"&amp;F$4,'소스별_상세'!$L$5:$L$39,0)),"")&amp;" · 안건 구조 (P1)"</f>
        <v>미확인 · 안건 구조 (P1)</v>
      </c>
      <c r="G9" s="24" t="str">
        <f>IFERROR(INDEX('소스별_상세'!$I$5:$I$39,MATCH($A9&amp;"|"&amp;G$4,'소스별_상세'!$L$5:$L$39,0)),"")&amp;" · 안건 단위 (P0)"</f>
        <v>미확인 · 안건 단위 (P0)</v>
      </c>
      <c r="H9" s="24" t="str">
        <f>IFERROR(INDEX('소스별_상세'!$I$5:$I$39,MATCH($A9&amp;"|"&amp;H$4,'소스별_상세'!$L$5:$L$39,0)),"")&amp;" · 참석자 · 과제 (P1)"</f>
        <v>미확인 · 참석자 · 과제 (P1)</v>
      </c>
      <c r="I9" s="24" t="str">
        <f>IFERROR(INDEX('소스별_상세'!$I$5:$I$39,MATCH($A9&amp;"|"&amp;I$4,'소스별_상세'!$L$5:$L$39,0)),"")&amp;" · 참석자 + 부서 (P0)"</f>
        <v>미확인 · 참석자 + 부서 (P0)</v>
      </c>
      <c r="J9" s="24" t="inlineStr">
        <is>
          <t>1~2</t>
        </is>
      </c>
    </row>
    <row r="10" ht="34" customHeight="1">
      <c r="A10" s="23" t="inlineStr">
        <is>
          <t>사내 보고서</t>
        </is>
      </c>
      <c r="B10" s="24" t="inlineStr">
        <is>
          <t>REPORT</t>
        </is>
      </c>
      <c r="C10" s="24" t="inlineStr">
        <is>
          <t>사내</t>
        </is>
      </c>
      <c r="D10" s="25" t="n"/>
      <c r="E10" s="24" t="str">
        <f>IFERROR(INDEX('소스별_상세'!$I$5:$I$39,MATCH($A10&amp;"|"&amp;E$4,'소스별_상세'!$L$5:$L$39,0)),"")&amp;" · 최종본 · 버전 (P0)"</f>
        <v>확인중 · 최종본 · 버전 (P0)</v>
      </c>
      <c r="F10" s="24" t="str">
        <f>IFERROR(INDEX('소스별_상세'!$I$5:$I$39,MATCH($A10&amp;"|"&amp;F$4,'소스별_상세'!$L$5:$L$39,0)),"")&amp;" · 형식 혼합 (P1)"</f>
        <v>미확인 · 형식 혼합 (P1)</v>
      </c>
      <c r="G10" s="24" t="str">
        <f>IFERROR(INDEX('소스별_상세'!$I$5:$I$39,MATCH($A10&amp;"|"&amp;G$4,'소스별_상세'!$L$5:$L$39,0)),"")&amp;" · 슬라이드 단위 (P1)"</f>
        <v>미확인 · 슬라이드 단위 (P1)</v>
      </c>
      <c r="H10" s="24" t="str">
        <f>IFERROR(INDEX('소스별_상세'!$I$5:$I$39,MATCH($A10&amp;"|"&amp;H$4,'소스별_상세'!$L$5:$L$39,0)),"")&amp;" · 보안등급 (P0)"</f>
        <v>미확인 · 보안등급 (P0)</v>
      </c>
      <c r="I10" s="24" t="str">
        <f>IFERROR(INDEX('소스별_상세'!$I$5:$I$39,MATCH($A10&amp;"|"&amp;I$4,'소스별_상세'!$L$5:$L$39,0)),"")&amp;" · 등급 + 부서 (P0)"</f>
        <v>미확인 · 등급 + 부서 (P0)</v>
      </c>
      <c r="J10" s="24" t="inlineStr">
        <is>
          <t>1~2</t>
        </is>
      </c>
    </row>
    <row r="11" ht="34" customHeight="1">
      <c r="A11" s="23" t="inlineStr">
        <is>
          <t>임원 보고서</t>
        </is>
      </c>
      <c r="B11" s="24" t="inlineStr">
        <is>
          <t>EXEC_REPORT</t>
        </is>
      </c>
      <c r="C11" s="24" t="inlineStr">
        <is>
          <t>사내</t>
        </is>
      </c>
      <c r="D11" s="25" t="n"/>
      <c r="E11" s="24" t="str">
        <f>IFERROR(INDEX('소스별_상세'!$I$5:$I$39,MATCH($A11&amp;"|"&amp;E$4,'소스별_상세'!$L$5:$L$39,0)),"")&amp;" · 최종본 (P1)"</f>
        <v>확인중 · 최종본 (P1)</v>
      </c>
      <c r="F11" s="24" t="str">
        <f>IFERROR(INDEX('소스별_상세'!$I$5:$I$39,MATCH($A11&amp;"|"&amp;F$4,'소스별_상세'!$L$5:$L$39,0)),"")&amp;" · 요약 슬라이드 (P1)"</f>
        <v>미확인 · 요약 슬라이드 (P1)</v>
      </c>
      <c r="G11" s="24" t="str">
        <f>IFERROR(INDEX('소스별_상세'!$I$5:$I$39,MATCH($A11&amp;"|"&amp;G$4,'소스별_상세'!$L$5:$L$39,0)),"")&amp;" · 슬라이드 단위 (P1)"</f>
        <v>미확인 · 슬라이드 단위 (P1)</v>
      </c>
      <c r="H11" s="24" t="str">
        <f>IFERROR(INDEX('소스별_상세'!$I$5:$I$39,MATCH($A11&amp;"|"&amp;H$4,'소스별_상세'!$L$5:$L$39,0)),"")&amp;" · 등급 3 (P1)"</f>
        <v>미확인 · 등급 3 (P1)</v>
      </c>
      <c r="I11" s="24" t="str">
        <f>IFERROR(INDEX('소스별_상세'!$I$5:$I$39,MATCH($A11&amp;"|"&amp;I$4,'소스별_상세'!$L$5:$L$39,0)),"")&amp;" · 결재선만 · 누출 테스트 (P0)"</f>
        <v>미확인 · 결재선만 · 누출 테스트 (P0)</v>
      </c>
      <c r="J11" s="24" t="inlineStr">
        <is>
          <t>3</t>
        </is>
      </c>
    </row>
  </sheetData>
  <autoFilter ref="A4:J11"/>
  <mergeCells count="2">
    <mergeCell ref="A1:J1"/>
    <mergeCell ref="A2:J2"/>
  </mergeCells>
  <conditionalFormatting sqref="E5:I11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26" t="inlineStr">
        <is>
          <t>뉴스</t>
        </is>
      </c>
      <c r="B5" s="24" t="inlineStr">
        <is>
          <t>NEWS</t>
        </is>
      </c>
      <c r="C5" s="24" t="inlineStr">
        <is>
          <t>사외</t>
        </is>
      </c>
      <c r="D5" s="24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24" t="inlineStr">
        <is>
          <t>P1</t>
        </is>
      </c>
      <c r="I5" s="25" t="inlineStr">
        <is>
          <t>확인중</t>
        </is>
      </c>
      <c r="J5" s="24" t="inlineStr">
        <is>
          <t>0</t>
        </is>
      </c>
      <c r="K5" s="6" t="inlineStr"/>
      <c r="L5" s="27" t="str">
        <f>A5&amp;"|"&amp;D5</f>
        <v>뉴스|수집</v>
      </c>
    </row>
    <row r="6">
      <c r="A6" s="26" t="inlineStr">
        <is>
          <t>뉴스</t>
        </is>
      </c>
      <c r="B6" s="24" t="inlineStr">
        <is>
          <t>NEWS</t>
        </is>
      </c>
      <c r="C6" s="24" t="inlineStr">
        <is>
          <t>사외</t>
        </is>
      </c>
      <c r="D6" s="24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24" t="inlineStr">
        <is>
          <t>P1</t>
        </is>
      </c>
      <c r="I6" s="25" t="inlineStr">
        <is>
          <t>미확인</t>
        </is>
      </c>
      <c r="J6" s="24" t="inlineStr">
        <is>
          <t>0</t>
        </is>
      </c>
      <c r="K6" s="6" t="inlineStr"/>
      <c r="L6" s="27" t="str">
        <f>A6&amp;"|"&amp;D6</f>
        <v>뉴스|파싱</v>
      </c>
    </row>
    <row r="7">
      <c r="A7" s="26" t="inlineStr">
        <is>
          <t>뉴스</t>
        </is>
      </c>
      <c r="B7" s="24" t="inlineStr">
        <is>
          <t>NEWS</t>
        </is>
      </c>
      <c r="C7" s="24" t="inlineStr">
        <is>
          <t>사외</t>
        </is>
      </c>
      <c r="D7" s="24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24" t="inlineStr">
        <is>
          <t>P0</t>
        </is>
      </c>
      <c r="I7" s="25" t="inlineStr">
        <is>
          <t>미확인</t>
        </is>
      </c>
      <c r="J7" s="24" t="inlineStr">
        <is>
          <t>0</t>
        </is>
      </c>
      <c r="K7" s="6" t="inlineStr"/>
      <c r="L7" s="27" t="str">
        <f>A7&amp;"|"&amp;D7</f>
        <v>뉴스|청킹</v>
      </c>
    </row>
    <row r="8">
      <c r="A8" s="26" t="inlineStr">
        <is>
          <t>뉴스</t>
        </is>
      </c>
      <c r="B8" s="24" t="inlineStr">
        <is>
          <t>NEWS</t>
        </is>
      </c>
      <c r="C8" s="24" t="inlineStr">
        <is>
          <t>사외</t>
        </is>
      </c>
      <c r="D8" s="24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24" t="inlineStr">
        <is>
          <t>P0</t>
        </is>
      </c>
      <c r="I8" s="25" t="inlineStr">
        <is>
          <t>미확인</t>
        </is>
      </c>
      <c r="J8" s="24" t="inlineStr">
        <is>
          <t>0</t>
        </is>
      </c>
      <c r="K8" s="6" t="inlineStr"/>
      <c r="L8" s="27" t="str">
        <f>A8&amp;"|"&amp;D8</f>
        <v>뉴스|메타</v>
      </c>
    </row>
    <row r="9">
      <c r="A9" s="26" t="inlineStr">
        <is>
          <t>뉴스</t>
        </is>
      </c>
      <c r="B9" s="24" t="inlineStr">
        <is>
          <t>NEWS</t>
        </is>
      </c>
      <c r="C9" s="24" t="inlineStr">
        <is>
          <t>사외</t>
        </is>
      </c>
      <c r="D9" s="24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24" t="inlineStr">
        <is>
          <t>P2</t>
        </is>
      </c>
      <c r="I9" s="25" t="inlineStr">
        <is>
          <t>미확인</t>
        </is>
      </c>
      <c r="J9" s="24" t="inlineStr">
        <is>
          <t>0</t>
        </is>
      </c>
      <c r="K9" s="6" t="inlineStr"/>
      <c r="L9" s="27" t="str">
        <f>A9&amp;"|"&amp;D9</f>
        <v>뉴스|권한</v>
      </c>
    </row>
    <row r="10">
      <c r="A10" s="26" t="inlineStr">
        <is>
          <t>증권사 리포트</t>
        </is>
      </c>
      <c r="B10" s="24" t="inlineStr">
        <is>
          <t>BROKER</t>
        </is>
      </c>
      <c r="C10" s="24" t="inlineStr">
        <is>
          <t>사외</t>
        </is>
      </c>
      <c r="D10" s="24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24" t="inlineStr">
        <is>
          <t>P1</t>
        </is>
      </c>
      <c r="I10" s="25" t="inlineStr">
        <is>
          <t>확인중</t>
        </is>
      </c>
      <c r="J10" s="24" t="inlineStr">
        <is>
          <t>0~1</t>
        </is>
      </c>
      <c r="K10" s="6" t="inlineStr"/>
      <c r="L10" s="27" t="str">
        <f>A10&amp;"|"&amp;D10</f>
        <v>증권사 리포트|수집</v>
      </c>
    </row>
    <row r="11">
      <c r="A11" s="26" t="inlineStr">
        <is>
          <t>증권사 리포트</t>
        </is>
      </c>
      <c r="B11" s="24" t="inlineStr">
        <is>
          <t>BROKER</t>
        </is>
      </c>
      <c r="C11" s="24" t="inlineStr">
        <is>
          <t>사외</t>
        </is>
      </c>
      <c r="D11" s="24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24" t="inlineStr">
        <is>
          <t>P0</t>
        </is>
      </c>
      <c r="I11" s="25" t="inlineStr">
        <is>
          <t>미확인</t>
        </is>
      </c>
      <c r="J11" s="24" t="inlineStr">
        <is>
          <t>0~1</t>
        </is>
      </c>
      <c r="K11" s="6" t="inlineStr"/>
      <c r="L11" s="27" t="str">
        <f>A11&amp;"|"&amp;D11</f>
        <v>증권사 리포트|파싱</v>
      </c>
    </row>
    <row r="12">
      <c r="A12" s="26" t="inlineStr">
        <is>
          <t>증권사 리포트</t>
        </is>
      </c>
      <c r="B12" s="24" t="inlineStr">
        <is>
          <t>BROKER</t>
        </is>
      </c>
      <c r="C12" s="24" t="inlineStr">
        <is>
          <t>사외</t>
        </is>
      </c>
      <c r="D12" s="24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24" t="inlineStr">
        <is>
          <t>P0</t>
        </is>
      </c>
      <c r="I12" s="25" t="inlineStr">
        <is>
          <t>미확인</t>
        </is>
      </c>
      <c r="J12" s="24" t="inlineStr">
        <is>
          <t>0~1</t>
        </is>
      </c>
      <c r="K12" s="6" t="inlineStr"/>
      <c r="L12" s="27" t="str">
        <f>A12&amp;"|"&amp;D12</f>
        <v>증권사 리포트|청킹</v>
      </c>
    </row>
    <row r="13">
      <c r="A13" s="26" t="inlineStr">
        <is>
          <t>증권사 리포트</t>
        </is>
      </c>
      <c r="B13" s="24" t="inlineStr">
        <is>
          <t>BROKER</t>
        </is>
      </c>
      <c r="C13" s="24" t="inlineStr">
        <is>
          <t>사외</t>
        </is>
      </c>
      <c r="D13" s="24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24" t="inlineStr">
        <is>
          <t>P1</t>
        </is>
      </c>
      <c r="I13" s="25" t="inlineStr">
        <is>
          <t>미확인</t>
        </is>
      </c>
      <c r="J13" s="24" t="inlineStr">
        <is>
          <t>0~1</t>
        </is>
      </c>
      <c r="K13" s="6" t="inlineStr"/>
      <c r="L13" s="27" t="str">
        <f>A13&amp;"|"&amp;D13</f>
        <v>증권사 리포트|메타</v>
      </c>
    </row>
    <row r="14">
      <c r="A14" s="26" t="inlineStr">
        <is>
          <t>증권사 리포트</t>
        </is>
      </c>
      <c r="B14" s="24" t="inlineStr">
        <is>
          <t>BROKER</t>
        </is>
      </c>
      <c r="C14" s="24" t="inlineStr">
        <is>
          <t>사외</t>
        </is>
      </c>
      <c r="D14" s="24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24" t="inlineStr">
        <is>
          <t>P1</t>
        </is>
      </c>
      <c r="I14" s="25" t="inlineStr">
        <is>
          <t>미확인</t>
        </is>
      </c>
      <c r="J14" s="24" t="inlineStr">
        <is>
          <t>0~1</t>
        </is>
      </c>
      <c r="K14" s="6" t="inlineStr"/>
      <c r="L14" s="27" t="str">
        <f>A14&amp;"|"&amp;D14</f>
        <v>증권사 리포트|권한</v>
      </c>
    </row>
    <row r="15">
      <c r="A15" s="26" t="inlineStr">
        <is>
          <t>기관 보고서</t>
        </is>
      </c>
      <c r="B15" s="24" t="inlineStr">
        <is>
          <t>INSTITUTION</t>
        </is>
      </c>
      <c r="C15" s="24" t="inlineStr">
        <is>
          <t>사외</t>
        </is>
      </c>
      <c r="D15" s="24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24" t="inlineStr">
        <is>
          <t>P1</t>
        </is>
      </c>
      <c r="I15" s="25" t="inlineStr">
        <is>
          <t>확인중</t>
        </is>
      </c>
      <c r="J15" s="24" t="inlineStr">
        <is>
          <t>0~1</t>
        </is>
      </c>
      <c r="K15" s="6" t="inlineStr"/>
      <c r="L15" s="27" t="str">
        <f>A15&amp;"|"&amp;D15</f>
        <v>기관 보고서|수집</v>
      </c>
    </row>
    <row r="16">
      <c r="A16" s="26" t="inlineStr">
        <is>
          <t>기관 보고서</t>
        </is>
      </c>
      <c r="B16" s="24" t="inlineStr">
        <is>
          <t>INSTITUTION</t>
        </is>
      </c>
      <c r="C16" s="24" t="inlineStr">
        <is>
          <t>사외</t>
        </is>
      </c>
      <c r="D16" s="24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24" t="inlineStr">
        <is>
          <t>P1</t>
        </is>
      </c>
      <c r="I16" s="25" t="inlineStr">
        <is>
          <t>미확인</t>
        </is>
      </c>
      <c r="J16" s="24" t="inlineStr">
        <is>
          <t>0~1</t>
        </is>
      </c>
      <c r="K16" s="6" t="inlineStr"/>
      <c r="L16" s="27" t="str">
        <f>A16&amp;"|"&amp;D16</f>
        <v>기관 보고서|파싱</v>
      </c>
    </row>
    <row r="17">
      <c r="A17" s="26" t="inlineStr">
        <is>
          <t>기관 보고서</t>
        </is>
      </c>
      <c r="B17" s="24" t="inlineStr">
        <is>
          <t>INSTITUTION</t>
        </is>
      </c>
      <c r="C17" s="24" t="inlineStr">
        <is>
          <t>사외</t>
        </is>
      </c>
      <c r="D17" s="24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24" t="inlineStr">
        <is>
          <t>P1</t>
        </is>
      </c>
      <c r="I17" s="25" t="inlineStr">
        <is>
          <t>미확인</t>
        </is>
      </c>
      <c r="J17" s="24" t="inlineStr">
        <is>
          <t>0~1</t>
        </is>
      </c>
      <c r="K17" s="6" t="inlineStr"/>
      <c r="L17" s="27" t="str">
        <f>A17&amp;"|"&amp;D17</f>
        <v>기관 보고서|청킹</v>
      </c>
    </row>
    <row r="18">
      <c r="A18" s="26" t="inlineStr">
        <is>
          <t>기관 보고서</t>
        </is>
      </c>
      <c r="B18" s="24" t="inlineStr">
        <is>
          <t>INSTITUTION</t>
        </is>
      </c>
      <c r="C18" s="24" t="inlineStr">
        <is>
          <t>사외</t>
        </is>
      </c>
      <c r="D18" s="24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24" t="inlineStr">
        <is>
          <t>P0</t>
        </is>
      </c>
      <c r="I18" s="25" t="inlineStr">
        <is>
          <t>미확인</t>
        </is>
      </c>
      <c r="J18" s="24" t="inlineStr">
        <is>
          <t>0~1</t>
        </is>
      </c>
      <c r="K18" s="6" t="inlineStr"/>
      <c r="L18" s="27" t="str">
        <f>A18&amp;"|"&amp;D18</f>
        <v>기관 보고서|메타</v>
      </c>
    </row>
    <row r="19">
      <c r="A19" s="26" t="inlineStr">
        <is>
          <t>기관 보고서</t>
        </is>
      </c>
      <c r="B19" s="24" t="inlineStr">
        <is>
          <t>INSTITUTION</t>
        </is>
      </c>
      <c r="C19" s="24" t="inlineStr">
        <is>
          <t>사외</t>
        </is>
      </c>
      <c r="D19" s="24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24" t="inlineStr">
        <is>
          <t>P2</t>
        </is>
      </c>
      <c r="I19" s="25" t="inlineStr">
        <is>
          <t>미확인</t>
        </is>
      </c>
      <c r="J19" s="24" t="inlineStr">
        <is>
          <t>0~1</t>
        </is>
      </c>
      <c r="K19" s="6" t="inlineStr"/>
      <c r="L19" s="27" t="str">
        <f>A19&amp;"|"&amp;D19</f>
        <v>기관 보고서|권한</v>
      </c>
    </row>
    <row r="20">
      <c r="A20" s="26" t="inlineStr">
        <is>
          <t>메일</t>
        </is>
      </c>
      <c r="B20" s="24" t="inlineStr">
        <is>
          <t>EMAIL</t>
        </is>
      </c>
      <c r="C20" s="24" t="inlineStr">
        <is>
          <t>사내</t>
        </is>
      </c>
      <c r="D20" s="24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24" t="inlineStr">
        <is>
          <t>P0</t>
        </is>
      </c>
      <c r="I20" s="25" t="inlineStr">
        <is>
          <t>확인중</t>
        </is>
      </c>
      <c r="J20" s="24" t="inlineStr">
        <is>
          <t>1~2</t>
        </is>
      </c>
      <c r="K20" s="6" t="inlineStr"/>
      <c r="L20" s="27" t="str">
        <f>A20&amp;"|"&amp;D20</f>
        <v>메일|수집</v>
      </c>
    </row>
    <row r="21">
      <c r="A21" s="26" t="inlineStr">
        <is>
          <t>메일</t>
        </is>
      </c>
      <c r="B21" s="24" t="inlineStr">
        <is>
          <t>EMAIL</t>
        </is>
      </c>
      <c r="C21" s="24" t="inlineStr">
        <is>
          <t>사내</t>
        </is>
      </c>
      <c r="D21" s="24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24" t="inlineStr">
        <is>
          <t>P0</t>
        </is>
      </c>
      <c r="I21" s="25" t="inlineStr">
        <is>
          <t>미확인</t>
        </is>
      </c>
      <c r="J21" s="24" t="inlineStr">
        <is>
          <t>1~2</t>
        </is>
      </c>
      <c r="K21" s="6" t="inlineStr"/>
      <c r="L21" s="27" t="str">
        <f>A21&amp;"|"&amp;D21</f>
        <v>메일|파싱</v>
      </c>
    </row>
    <row r="22">
      <c r="A22" s="26" t="inlineStr">
        <is>
          <t>메일</t>
        </is>
      </c>
      <c r="B22" s="24" t="inlineStr">
        <is>
          <t>EMAIL</t>
        </is>
      </c>
      <c r="C22" s="24" t="inlineStr">
        <is>
          <t>사내</t>
        </is>
      </c>
      <c r="D22" s="24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24" t="inlineStr">
        <is>
          <t>P0</t>
        </is>
      </c>
      <c r="I22" s="25" t="inlineStr">
        <is>
          <t>미확인</t>
        </is>
      </c>
      <c r="J22" s="24" t="inlineStr">
        <is>
          <t>1~2</t>
        </is>
      </c>
      <c r="K22" s="6" t="inlineStr"/>
      <c r="L22" s="27" t="str">
        <f>A22&amp;"|"&amp;D22</f>
        <v>메일|청킹</v>
      </c>
    </row>
    <row r="23">
      <c r="A23" s="26" t="inlineStr">
        <is>
          <t>메일</t>
        </is>
      </c>
      <c r="B23" s="24" t="inlineStr">
        <is>
          <t>EMAIL</t>
        </is>
      </c>
      <c r="C23" s="24" t="inlineStr">
        <is>
          <t>사내</t>
        </is>
      </c>
      <c r="D23" s="24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24" t="inlineStr">
        <is>
          <t>P1</t>
        </is>
      </c>
      <c r="I23" s="25" t="inlineStr">
        <is>
          <t>미확인</t>
        </is>
      </c>
      <c r="J23" s="24" t="inlineStr">
        <is>
          <t>1~2</t>
        </is>
      </c>
      <c r="K23" s="6" t="inlineStr"/>
      <c r="L23" s="27" t="str">
        <f>A23&amp;"|"&amp;D23</f>
        <v>메일|메타</v>
      </c>
    </row>
    <row r="24">
      <c r="A24" s="26" t="inlineStr">
        <is>
          <t>메일</t>
        </is>
      </c>
      <c r="B24" s="24" t="inlineStr">
        <is>
          <t>EMAIL</t>
        </is>
      </c>
      <c r="C24" s="24" t="inlineStr">
        <is>
          <t>사내</t>
        </is>
      </c>
      <c r="D24" s="24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24" t="inlineStr">
        <is>
          <t>P0</t>
        </is>
      </c>
      <c r="I24" s="25" t="inlineStr">
        <is>
          <t>미확인</t>
        </is>
      </c>
      <c r="J24" s="24" t="inlineStr">
        <is>
          <t>1~2</t>
        </is>
      </c>
      <c r="K24" s="6" t="inlineStr"/>
      <c r="L24" s="27" t="str">
        <f>A24&amp;"|"&amp;D24</f>
        <v>메일|권한</v>
      </c>
    </row>
    <row r="25">
      <c r="A25" s="26" t="inlineStr">
        <is>
          <t>회의록</t>
        </is>
      </c>
      <c r="B25" s="24" t="inlineStr">
        <is>
          <t>MEETING</t>
        </is>
      </c>
      <c r="C25" s="24" t="inlineStr">
        <is>
          <t>사내</t>
        </is>
      </c>
      <c r="D25" s="24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24" t="inlineStr">
        <is>
          <t>P1</t>
        </is>
      </c>
      <c r="I25" s="25" t="inlineStr">
        <is>
          <t>확인중</t>
        </is>
      </c>
      <c r="J25" s="24" t="inlineStr">
        <is>
          <t>1~2</t>
        </is>
      </c>
      <c r="K25" s="6" t="inlineStr"/>
      <c r="L25" s="27" t="str">
        <f>A25&amp;"|"&amp;D25</f>
        <v>회의록|수집</v>
      </c>
    </row>
    <row r="26">
      <c r="A26" s="26" t="inlineStr">
        <is>
          <t>회의록</t>
        </is>
      </c>
      <c r="B26" s="24" t="inlineStr">
        <is>
          <t>MEETING</t>
        </is>
      </c>
      <c r="C26" s="24" t="inlineStr">
        <is>
          <t>사내</t>
        </is>
      </c>
      <c r="D26" s="24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24" t="inlineStr">
        <is>
          <t>P1</t>
        </is>
      </c>
      <c r="I26" s="25" t="inlineStr">
        <is>
          <t>미확인</t>
        </is>
      </c>
      <c r="J26" s="24" t="inlineStr">
        <is>
          <t>1~2</t>
        </is>
      </c>
      <c r="K26" s="6" t="inlineStr"/>
      <c r="L26" s="27" t="str">
        <f>A26&amp;"|"&amp;D26</f>
        <v>회의록|파싱</v>
      </c>
    </row>
    <row r="27">
      <c r="A27" s="26" t="inlineStr">
        <is>
          <t>회의록</t>
        </is>
      </c>
      <c r="B27" s="24" t="inlineStr">
        <is>
          <t>MEETING</t>
        </is>
      </c>
      <c r="C27" s="24" t="inlineStr">
        <is>
          <t>사내</t>
        </is>
      </c>
      <c r="D27" s="24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24" t="inlineStr">
        <is>
          <t>P0</t>
        </is>
      </c>
      <c r="I27" s="25" t="inlineStr">
        <is>
          <t>미확인</t>
        </is>
      </c>
      <c r="J27" s="24" t="inlineStr">
        <is>
          <t>1~2</t>
        </is>
      </c>
      <c r="K27" s="6" t="inlineStr"/>
      <c r="L27" s="27" t="str">
        <f>A27&amp;"|"&amp;D27</f>
        <v>회의록|청킹</v>
      </c>
    </row>
    <row r="28">
      <c r="A28" s="26" t="inlineStr">
        <is>
          <t>회의록</t>
        </is>
      </c>
      <c r="B28" s="24" t="inlineStr">
        <is>
          <t>MEETING</t>
        </is>
      </c>
      <c r="C28" s="24" t="inlineStr">
        <is>
          <t>사내</t>
        </is>
      </c>
      <c r="D28" s="24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24" t="inlineStr">
        <is>
          <t>P1</t>
        </is>
      </c>
      <c r="I28" s="25" t="inlineStr">
        <is>
          <t>미확인</t>
        </is>
      </c>
      <c r="J28" s="24" t="inlineStr">
        <is>
          <t>1~2</t>
        </is>
      </c>
      <c r="K28" s="6" t="inlineStr"/>
      <c r="L28" s="27" t="str">
        <f>A28&amp;"|"&amp;D28</f>
        <v>회의록|메타</v>
      </c>
    </row>
    <row r="29">
      <c r="A29" s="26" t="inlineStr">
        <is>
          <t>회의록</t>
        </is>
      </c>
      <c r="B29" s="24" t="inlineStr">
        <is>
          <t>MEETING</t>
        </is>
      </c>
      <c r="C29" s="24" t="inlineStr">
        <is>
          <t>사내</t>
        </is>
      </c>
      <c r="D29" s="24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24" t="inlineStr">
        <is>
          <t>P0</t>
        </is>
      </c>
      <c r="I29" s="25" t="inlineStr">
        <is>
          <t>미확인</t>
        </is>
      </c>
      <c r="J29" s="24" t="inlineStr">
        <is>
          <t>1~2</t>
        </is>
      </c>
      <c r="K29" s="6" t="inlineStr"/>
      <c r="L29" s="27" t="str">
        <f>A29&amp;"|"&amp;D29</f>
        <v>회의록|권한</v>
      </c>
    </row>
    <row r="30">
      <c r="A30" s="26" t="inlineStr">
        <is>
          <t>사내 보고서</t>
        </is>
      </c>
      <c r="B30" s="24" t="inlineStr">
        <is>
          <t>REPORT</t>
        </is>
      </c>
      <c r="C30" s="24" t="inlineStr">
        <is>
          <t>사내</t>
        </is>
      </c>
      <c r="D30" s="24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24" t="inlineStr">
        <is>
          <t>P0</t>
        </is>
      </c>
      <c r="I30" s="25" t="inlineStr">
        <is>
          <t>확인중</t>
        </is>
      </c>
      <c r="J30" s="24" t="inlineStr">
        <is>
          <t>1~2</t>
        </is>
      </c>
      <c r="K30" s="6" t="inlineStr"/>
      <c r="L30" s="27" t="str">
        <f>A30&amp;"|"&amp;D30</f>
        <v>사내 보고서|수집</v>
      </c>
    </row>
    <row r="31">
      <c r="A31" s="26" t="inlineStr">
        <is>
          <t>사내 보고서</t>
        </is>
      </c>
      <c r="B31" s="24" t="inlineStr">
        <is>
          <t>REPORT</t>
        </is>
      </c>
      <c r="C31" s="24" t="inlineStr">
        <is>
          <t>사내</t>
        </is>
      </c>
      <c r="D31" s="24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24" t="inlineStr">
        <is>
          <t>P1</t>
        </is>
      </c>
      <c r="I31" s="25" t="inlineStr">
        <is>
          <t>미확인</t>
        </is>
      </c>
      <c r="J31" s="24" t="inlineStr">
        <is>
          <t>1~2</t>
        </is>
      </c>
      <c r="K31" s="6" t="inlineStr"/>
      <c r="L31" s="27" t="str">
        <f>A31&amp;"|"&amp;D31</f>
        <v>사내 보고서|파싱</v>
      </c>
    </row>
    <row r="32">
      <c r="A32" s="26" t="inlineStr">
        <is>
          <t>사내 보고서</t>
        </is>
      </c>
      <c r="B32" s="24" t="inlineStr">
        <is>
          <t>REPORT</t>
        </is>
      </c>
      <c r="C32" s="24" t="inlineStr">
        <is>
          <t>사내</t>
        </is>
      </c>
      <c r="D32" s="24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24" t="inlineStr">
        <is>
          <t>P1</t>
        </is>
      </c>
      <c r="I32" s="25" t="inlineStr">
        <is>
          <t>미확인</t>
        </is>
      </c>
      <c r="J32" s="24" t="inlineStr">
        <is>
          <t>1~2</t>
        </is>
      </c>
      <c r="K32" s="6" t="inlineStr"/>
      <c r="L32" s="27" t="str">
        <f>A32&amp;"|"&amp;D32</f>
        <v>사내 보고서|청킹</v>
      </c>
    </row>
    <row r="33">
      <c r="A33" s="26" t="inlineStr">
        <is>
          <t>사내 보고서</t>
        </is>
      </c>
      <c r="B33" s="24" t="inlineStr">
        <is>
          <t>REPORT</t>
        </is>
      </c>
      <c r="C33" s="24" t="inlineStr">
        <is>
          <t>사내</t>
        </is>
      </c>
      <c r="D33" s="24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24" t="inlineStr">
        <is>
          <t>P0</t>
        </is>
      </c>
      <c r="I33" s="25" t="inlineStr">
        <is>
          <t>미확인</t>
        </is>
      </c>
      <c r="J33" s="24" t="inlineStr">
        <is>
          <t>1~2</t>
        </is>
      </c>
      <c r="K33" s="6" t="inlineStr"/>
      <c r="L33" s="27" t="str">
        <f>A33&amp;"|"&amp;D33</f>
        <v>사내 보고서|메타</v>
      </c>
    </row>
    <row r="34">
      <c r="A34" s="26" t="inlineStr">
        <is>
          <t>사내 보고서</t>
        </is>
      </c>
      <c r="B34" s="24" t="inlineStr">
        <is>
          <t>REPORT</t>
        </is>
      </c>
      <c r="C34" s="24" t="inlineStr">
        <is>
          <t>사내</t>
        </is>
      </c>
      <c r="D34" s="24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24" t="inlineStr">
        <is>
          <t>P0</t>
        </is>
      </c>
      <c r="I34" s="25" t="inlineStr">
        <is>
          <t>미확인</t>
        </is>
      </c>
      <c r="J34" s="24" t="inlineStr">
        <is>
          <t>1~2</t>
        </is>
      </c>
      <c r="K34" s="6" t="inlineStr"/>
      <c r="L34" s="27" t="str">
        <f>A34&amp;"|"&amp;D34</f>
        <v>사내 보고서|권한</v>
      </c>
    </row>
    <row r="35">
      <c r="A35" s="26" t="inlineStr">
        <is>
          <t>임원 보고서</t>
        </is>
      </c>
      <c r="B35" s="24" t="inlineStr">
        <is>
          <t>EXEC_REPORT</t>
        </is>
      </c>
      <c r="C35" s="24" t="inlineStr">
        <is>
          <t>사내</t>
        </is>
      </c>
      <c r="D35" s="24" t="inlineStr">
        <is>
          <t>수집</t>
        </is>
      </c>
      <c r="E35" s="5" t="inlineStr">
        <is>
          <t>보고 원본 확보 경로 · 최종본</t>
        </is>
      </c>
      <c r="F35" s="6" t="inlineStr">
        <is>
          <t>공통: doc id · 중복 체크 · 날짜 분리 확인</t>
        </is>
      </c>
      <c r="G35" s="5" t="inlineStr">
        <is>
          <t>최종 보고본만</t>
        </is>
      </c>
      <c r="H35" s="24" t="inlineStr">
        <is>
          <t>P1</t>
        </is>
      </c>
      <c r="I35" s="25" t="inlineStr">
        <is>
          <t>확인중</t>
        </is>
      </c>
      <c r="J35" s="24" t="inlineStr">
        <is>
          <t>3</t>
        </is>
      </c>
      <c r="K35" s="6" t="inlineStr"/>
      <c r="L35" s="27" t="str">
        <f>A35&amp;"|"&amp;D35</f>
        <v>임원 보고서|수집</v>
      </c>
    </row>
    <row r="36">
      <c r="A36" s="26" t="inlineStr">
        <is>
          <t>임원 보고서</t>
        </is>
      </c>
      <c r="B36" s="24" t="inlineStr">
        <is>
          <t>EXEC_REPORT</t>
        </is>
      </c>
      <c r="C36" s="24" t="inlineStr">
        <is>
          <t>사내</t>
        </is>
      </c>
      <c r="D36" s="24" t="inlineStr">
        <is>
          <t>파싱</t>
        </is>
      </c>
      <c r="E36" s="5" t="inlineStr">
        <is>
          <t>PPT 요약 슬라이드 · 표</t>
        </is>
      </c>
      <c r="F36" s="6" t="inlineStr"/>
      <c r="G36" s="5" t="inlineStr">
        <is>
          <t>슬라이드 텍스트 · 표 추출</t>
        </is>
      </c>
      <c r="H36" s="24" t="inlineStr">
        <is>
          <t>P1</t>
        </is>
      </c>
      <c r="I36" s="25" t="inlineStr">
        <is>
          <t>미확인</t>
        </is>
      </c>
      <c r="J36" s="24" t="inlineStr">
        <is>
          <t>3</t>
        </is>
      </c>
      <c r="K36" s="6" t="inlineStr"/>
      <c r="L36" s="27" t="str">
        <f>A36&amp;"|"&amp;D36</f>
        <v>임원 보고서|파싱</v>
      </c>
    </row>
    <row r="37">
      <c r="A37" s="26" t="inlineStr">
        <is>
          <t>임원 보고서</t>
        </is>
      </c>
      <c r="B37" s="24" t="inlineStr">
        <is>
          <t>EXEC_REPORT</t>
        </is>
      </c>
      <c r="C37" s="24" t="inlineStr">
        <is>
          <t>사내</t>
        </is>
      </c>
      <c r="D37" s="24" t="inlineStr">
        <is>
          <t>청킹</t>
        </is>
      </c>
      <c r="E37" s="5" t="inlineStr">
        <is>
          <t>장 · 슬라이드 단위</t>
        </is>
      </c>
      <c r="F37" s="6" t="inlineStr"/>
      <c r="G37" s="5" t="inlineStr">
        <is>
          <t>슬라이드 단위</t>
        </is>
      </c>
      <c r="H37" s="24" t="inlineStr">
        <is>
          <t>P1</t>
        </is>
      </c>
      <c r="I37" s="25" t="inlineStr">
        <is>
          <t>미확인</t>
        </is>
      </c>
      <c r="J37" s="24" t="inlineStr">
        <is>
          <t>3</t>
        </is>
      </c>
      <c r="K37" s="6" t="inlineStr"/>
      <c r="L37" s="27" t="str">
        <f>A37&amp;"|"&amp;D37</f>
        <v>임원 보고서|청킹</v>
      </c>
    </row>
    <row r="38">
      <c r="A38" s="26" t="inlineStr">
        <is>
          <t>임원 보고서</t>
        </is>
      </c>
      <c r="B38" s="24" t="inlineStr">
        <is>
          <t>EXEC_REPORT</t>
        </is>
      </c>
      <c r="C38" s="24" t="inlineStr">
        <is>
          <t>사내</t>
        </is>
      </c>
      <c r="D38" s="24" t="inlineStr">
        <is>
          <t>메타</t>
        </is>
      </c>
      <c r="E38" s="5" t="inlineStr">
        <is>
          <t>보고일 · 보고 부서 · 보고 대상</t>
        </is>
      </c>
      <c r="F38" s="6" t="inlineStr"/>
      <c r="G38" s="5" t="inlineStr">
        <is>
          <t>보안등급 3 고정</t>
        </is>
      </c>
      <c r="H38" s="24" t="inlineStr">
        <is>
          <t>P1</t>
        </is>
      </c>
      <c r="I38" s="25" t="inlineStr">
        <is>
          <t>미확인</t>
        </is>
      </c>
      <c r="J38" s="24" t="inlineStr">
        <is>
          <t>3</t>
        </is>
      </c>
      <c r="K38" s="6" t="inlineStr"/>
      <c r="L38" s="27" t="str">
        <f>A38&amp;"|"&amp;D38</f>
        <v>임원 보고서|메타</v>
      </c>
    </row>
    <row r="39">
      <c r="A39" s="26" t="inlineStr">
        <is>
          <t>임원 보고서</t>
        </is>
      </c>
      <c r="B39" s="24" t="inlineStr">
        <is>
          <t>EXEC_REPORT</t>
        </is>
      </c>
      <c r="C39" s="24" t="inlineStr">
        <is>
          <t>사내</t>
        </is>
      </c>
      <c r="D39" s="24" t="inlineStr">
        <is>
          <t>권한</t>
        </is>
      </c>
      <c r="E39" s="5" t="inlineStr">
        <is>
          <t>결재선 · 지정 그룹 외 절대 노출 금지</t>
        </is>
      </c>
      <c r="F39" s="6" t="inlineStr"/>
      <c r="G39" s="5" t="inlineStr">
        <is>
          <t>ACL = 결재선 + 지정 그룹, 누출 테스트 필수</t>
        </is>
      </c>
      <c r="H39" s="24" t="inlineStr">
        <is>
          <t>P0</t>
        </is>
      </c>
      <c r="I39" s="25" t="inlineStr">
        <is>
          <t>미확인</t>
        </is>
      </c>
      <c r="J39" s="24" t="inlineStr">
        <is>
          <t>3</t>
        </is>
      </c>
      <c r="K39" s="6" t="inlineStr"/>
      <c r="L39" s="27" t="str">
        <f>A39&amp;"|"&amp;D39</f>
        <v>임원 보고서|권한</v>
      </c>
    </row>
  </sheetData>
  <autoFilter ref="A4:L39"/>
  <mergeCells count="2">
    <mergeCell ref="A2:L2"/>
    <mergeCell ref="A1:L1"/>
  </mergeCells>
  <conditionalFormatting sqref="I5:I3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3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39" showDropDown="0" showInputMessage="0" showErrorMessage="0" allowBlank="1" type="list">
      <formula1>"미확인,확인중,완료,해당없음"</formula1>
    </dataValidation>
    <dataValidation sqref="H5:H3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19" customWidth="1" min="5" max="5"/>
    <col width="7" customWidth="1" min="6" max="6"/>
    <col width="12" customWidth="1" min="7" max="7"/>
    <col width="24" customWidth="1" min="8" max="8"/>
    <col width="20" customWidth="1" min="9" max="9"/>
    <col width="32" customWidth="1" min="10" max="10"/>
    <col width="11" customWidth="1" min="11" max="11"/>
    <col width="16" customWidth="1" min="12" max="12"/>
  </cols>
  <sheetData>
    <row r="1">
      <c r="A1" s="1" t="inlineStr">
        <is>
          <t>소스별 컬럼 정의서 (권장안)</t>
        </is>
      </c>
    </row>
    <row r="2">
      <c r="A2" s="2" t="inlineStr">
        <is>
          <t>연노랑 2개 칸(사내 보유 · 사내 컬럼명) 기입 → 사내 매핑표 · 등급: M 필수 / R 권장 / O 선택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이름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저장 위치</t>
        </is>
      </c>
      <c r="H4" s="3" t="inlineStr">
        <is>
          <t>어디서 오나</t>
        </is>
      </c>
      <c r="I4" s="3" t="inlineStr">
        <is>
          <t>쓰이는 곳</t>
        </is>
      </c>
      <c r="J4" s="3" t="inlineStr">
        <is>
          <t>샘플값</t>
        </is>
      </c>
      <c r="K4" s="3" t="inlineStr">
        <is>
          <t>사내 보유</t>
        </is>
      </c>
      <c r="L4" s="3" t="inlineStr">
        <is>
          <t>사내 컬럼명</t>
        </is>
      </c>
    </row>
    <row r="5">
      <c r="A5" s="26" t="inlineStr">
        <is>
          <t>공통</t>
        </is>
      </c>
      <c r="B5" s="24" t="inlineStr">
        <is>
          <t>문서</t>
        </is>
      </c>
      <c r="C5" s="28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24" t="inlineStr">
        <is>
          <t>필수</t>
        </is>
      </c>
      <c r="G5" s="29" t="inlineStr">
        <is>
          <t>공통 컬럼</t>
        </is>
      </c>
      <c r="H5" s="5" t="inlineStr">
        <is>
          <t>적재 시 생성 (소스코드+일자+일련)</t>
        </is>
      </c>
      <c r="I5" s="5" t="inlineStr">
        <is>
          <t>S01 · 전 단계 키</t>
        </is>
      </c>
      <c r="J5" s="30" t="inlineStr">
        <is>
          <t>NEWS_20260915_000123</t>
        </is>
      </c>
      <c r="K5" s="6" t="inlineStr"/>
      <c r="L5" s="6" t="inlineStr"/>
    </row>
    <row r="6">
      <c r="A6" s="26" t="inlineStr">
        <is>
          <t>공통</t>
        </is>
      </c>
      <c r="B6" s="24" t="inlineStr">
        <is>
          <t>문서</t>
        </is>
      </c>
      <c r="C6" s="28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24" t="inlineStr">
        <is>
          <t>필수</t>
        </is>
      </c>
      <c r="G6" s="29" t="inlineStr">
        <is>
          <t>공통 컬럼</t>
        </is>
      </c>
      <c r="H6" s="5" t="inlineStr">
        <is>
          <t>수집 모듈</t>
        </is>
      </c>
      <c r="I6" s="5" t="inlineStr">
        <is>
          <t>S01 증분 · 재수집</t>
        </is>
      </c>
      <c r="J6" s="30" t="inlineStr">
        <is>
          <t>NEWS_CRAWL</t>
        </is>
      </c>
      <c r="K6" s="6" t="inlineStr"/>
      <c r="L6" s="6" t="inlineStr"/>
    </row>
    <row r="7">
      <c r="A7" s="26" t="inlineStr">
        <is>
          <t>공통</t>
        </is>
      </c>
      <c r="B7" s="24" t="inlineStr">
        <is>
          <t>문서</t>
        </is>
      </c>
      <c r="C7" s="28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24" t="inlineStr">
        <is>
          <t>필수</t>
        </is>
      </c>
      <c r="G7" s="29" t="inlineStr">
        <is>
          <t>공통 컬럼</t>
        </is>
      </c>
      <c r="H7" s="5" t="inlineStr">
        <is>
          <t>원천 테이블 PK · URL · Message-ID</t>
        </is>
      </c>
      <c r="I7" s="5" t="inlineStr">
        <is>
          <t>S01 중복 · 갱신 판정</t>
        </is>
      </c>
      <c r="J7" s="30" t="inlineStr">
        <is>
          <t>hankyung:2026091500123</t>
        </is>
      </c>
      <c r="K7" s="6" t="inlineStr"/>
      <c r="L7" s="6" t="inlineStr"/>
    </row>
    <row r="8">
      <c r="A8" s="26" t="inlineStr">
        <is>
          <t>공통</t>
        </is>
      </c>
      <c r="B8" s="24" t="inlineStr">
        <is>
          <t>문서</t>
        </is>
      </c>
      <c r="C8" s="28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24" t="inlineStr">
        <is>
          <t>필수</t>
        </is>
      </c>
      <c r="G8" s="29" t="inlineStr">
        <is>
          <t>공통 컬럼</t>
        </is>
      </c>
      <c r="H8" s="5" t="inlineStr">
        <is>
          <t>수집 경로</t>
        </is>
      </c>
      <c r="I8" s="5" t="inlineStr">
        <is>
          <t>S10 필터 · S28 권한</t>
        </is>
      </c>
      <c r="J8" s="30" t="inlineStr">
        <is>
          <t>EXTERNAL</t>
        </is>
      </c>
      <c r="K8" s="6" t="inlineStr"/>
      <c r="L8" s="6" t="inlineStr"/>
    </row>
    <row r="9">
      <c r="A9" s="26" t="inlineStr">
        <is>
          <t>공통</t>
        </is>
      </c>
      <c r="B9" s="24" t="inlineStr">
        <is>
          <t>문서</t>
        </is>
      </c>
      <c r="C9" s="28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24" t="inlineStr">
        <is>
          <t>필수</t>
        </is>
      </c>
      <c r="G9" s="29" t="inlineStr">
        <is>
          <t>공통 컬럼</t>
        </is>
      </c>
      <c r="H9" s="5" t="inlineStr">
        <is>
          <t>수집 경로 · 분류</t>
        </is>
      </c>
      <c r="I9" s="5" t="inlineStr">
        <is>
          <t>S03 청킹 규칙 · S10 필터</t>
        </is>
      </c>
      <c r="J9" s="30" t="inlineStr">
        <is>
          <t>NEWS</t>
        </is>
      </c>
      <c r="K9" s="6" t="inlineStr"/>
      <c r="L9" s="6" t="inlineStr"/>
    </row>
    <row r="10">
      <c r="A10" s="26" t="inlineStr">
        <is>
          <t>공통</t>
        </is>
      </c>
      <c r="B10" s="24" t="inlineStr">
        <is>
          <t>문서</t>
        </is>
      </c>
      <c r="C10" s="28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24" t="inlineStr">
        <is>
          <t>필수</t>
        </is>
      </c>
      <c r="G10" s="29" t="inlineStr">
        <is>
          <t>공통 컬럼</t>
        </is>
      </c>
      <c r="H10" s="5" t="inlineStr">
        <is>
          <t>원문</t>
        </is>
      </c>
      <c r="I10" s="5" t="inlineStr">
        <is>
          <t>S03 헤더 · S14 인용</t>
        </is>
      </c>
      <c r="J10" s="30" t="inlineStr">
        <is>
          <t>마이크론, 히로시마 HBM 라인 증설</t>
        </is>
      </c>
      <c r="K10" s="6" t="inlineStr"/>
      <c r="L10" s="6" t="inlineStr"/>
    </row>
    <row r="11">
      <c r="A11" s="26" t="inlineStr">
        <is>
          <t>공통</t>
        </is>
      </c>
      <c r="B11" s="24" t="inlineStr">
        <is>
          <t>문서</t>
        </is>
      </c>
      <c r="C11" s="28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24" t="inlineStr">
        <is>
          <t>필수</t>
        </is>
      </c>
      <c r="G11" s="29" t="inlineStr">
        <is>
          <t>공통 컬럼</t>
        </is>
      </c>
      <c r="H11" s="5" t="inlineStr">
        <is>
          <t>원문 (없으면 NULL)</t>
        </is>
      </c>
      <c r="I11" s="5" t="inlineStr">
        <is>
          <t>S08 기간필터 · S12 최신성 · S19 센싱</t>
        </is>
      </c>
      <c r="J11" s="30" t="inlineStr">
        <is>
          <t>2026-09-15 08:12</t>
        </is>
      </c>
      <c r="K11" s="6" t="inlineStr"/>
      <c r="L11" s="6" t="inlineStr"/>
    </row>
    <row r="12">
      <c r="A12" s="26" t="inlineStr">
        <is>
          <t>공통</t>
        </is>
      </c>
      <c r="B12" s="24" t="inlineStr">
        <is>
          <t>문서</t>
        </is>
      </c>
      <c r="C12" s="28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24" t="inlineStr">
        <is>
          <t>권장</t>
        </is>
      </c>
      <c r="G12" s="29" t="inlineStr">
        <is>
          <t>공통 컬럼</t>
        </is>
      </c>
      <c r="H12" s="5" t="inlineStr">
        <is>
          <t>EXACT / ESTIMATED / MISSING</t>
        </is>
      </c>
      <c r="I12" s="5" t="inlineStr">
        <is>
          <t>S08 필터 신뢰도</t>
        </is>
      </c>
      <c r="J12" s="30" t="inlineStr">
        <is>
          <t>EXACT</t>
        </is>
      </c>
      <c r="K12" s="6" t="inlineStr"/>
      <c r="L12" s="6" t="inlineStr"/>
    </row>
    <row r="13">
      <c r="A13" s="26" t="inlineStr">
        <is>
          <t>공통</t>
        </is>
      </c>
      <c r="B13" s="24" t="inlineStr">
        <is>
          <t>문서</t>
        </is>
      </c>
      <c r="C13" s="28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24" t="inlineStr">
        <is>
          <t>필수</t>
        </is>
      </c>
      <c r="G13" s="29" t="inlineStr">
        <is>
          <t>공통 컬럼</t>
        </is>
      </c>
      <c r="H13" s="5" t="inlineStr">
        <is>
          <t>수집 모듈</t>
        </is>
      </c>
      <c r="I13" s="5" t="inlineStr">
        <is>
          <t>S01 운영 · 지연 점검</t>
        </is>
      </c>
      <c r="J13" s="30" t="inlineStr">
        <is>
          <t>2026-09-15 09:00</t>
        </is>
      </c>
      <c r="K13" s="6" t="inlineStr"/>
      <c r="L13" s="6" t="inlineStr"/>
    </row>
    <row r="14">
      <c r="A14" s="26" t="inlineStr">
        <is>
          <t>공통</t>
        </is>
      </c>
      <c r="B14" s="24" t="inlineStr">
        <is>
          <t>문서</t>
        </is>
      </c>
      <c r="C14" s="28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24" t="inlineStr">
        <is>
          <t>필수</t>
        </is>
      </c>
      <c r="G14" s="29" t="inlineStr">
        <is>
          <t>공통 컬럼</t>
        </is>
      </c>
      <c r="H14" s="5" t="inlineStr">
        <is>
          <t>언론사 · 증권사 · 기관 · 작성 부서</t>
        </is>
      </c>
      <c r="I14" s="5" t="inlineStr">
        <is>
          <t>S03 헤더 · S14 인용 · 필터</t>
        </is>
      </c>
      <c r="J14" s="30" t="inlineStr">
        <is>
          <t>한국경제</t>
        </is>
      </c>
      <c r="K14" s="6" t="inlineStr"/>
      <c r="L14" s="6" t="inlineStr"/>
    </row>
    <row r="15">
      <c r="A15" s="26" t="inlineStr">
        <is>
          <t>공통</t>
        </is>
      </c>
      <c r="B15" s="24" t="inlineStr">
        <is>
          <t>문서</t>
        </is>
      </c>
      <c r="C15" s="28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24" t="inlineStr">
        <is>
          <t>권장</t>
        </is>
      </c>
      <c r="G15" s="29" t="inlineStr">
        <is>
          <t>공통 컬럼</t>
        </is>
      </c>
      <c r="H15" s="5" t="inlineStr">
        <is>
          <t>기자 · 애널리스트 · 작성자</t>
        </is>
      </c>
      <c r="I15" s="5" t="inlineStr">
        <is>
          <t>S14 인용</t>
        </is>
      </c>
      <c r="J15" s="30" t="inlineStr">
        <is>
          <t>김기술</t>
        </is>
      </c>
      <c r="K15" s="6" t="inlineStr"/>
      <c r="L15" s="6" t="inlineStr"/>
    </row>
    <row r="16">
      <c r="A16" s="26" t="inlineStr">
        <is>
          <t>공통</t>
        </is>
      </c>
      <c r="B16" s="24" t="inlineStr">
        <is>
          <t>문서</t>
        </is>
      </c>
      <c r="C16" s="28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24" t="inlineStr">
        <is>
          <t>권장</t>
        </is>
      </c>
      <c r="G16" s="29" t="inlineStr">
        <is>
          <t>공통 컬럼</t>
        </is>
      </c>
      <c r="H16" s="5" t="inlineStr">
        <is>
          <t>URL 또는 파일 경로</t>
        </is>
      </c>
      <c r="I16" s="5" t="inlineStr">
        <is>
          <t>UI 원문 이동 · 재파싱</t>
        </is>
      </c>
      <c r="J16" s="30" t="inlineStr">
        <is>
          <t>https://…/2026/09/15/123</t>
        </is>
      </c>
      <c r="K16" s="6" t="inlineStr"/>
      <c r="L16" s="6" t="inlineStr"/>
    </row>
    <row r="17">
      <c r="A17" s="26" t="inlineStr">
        <is>
          <t>공통</t>
        </is>
      </c>
      <c r="B17" s="24" t="inlineStr">
        <is>
          <t>문서</t>
        </is>
      </c>
      <c r="C17" s="28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24" t="inlineStr">
        <is>
          <t>권장</t>
        </is>
      </c>
      <c r="G17" s="29" t="inlineStr">
        <is>
          <t>공통 컬럼</t>
        </is>
      </c>
      <c r="H17" s="5" t="inlineStr">
        <is>
          <t>파일 서버 · 그룹웨어</t>
        </is>
      </c>
      <c r="I17" s="5" t="inlineStr">
        <is>
          <t>처리흐름 0번(재파싱 가능 여부)</t>
        </is>
      </c>
      <c r="J17" s="30" t="inlineStr">
        <is>
          <t>\\fs01\reports\2026\R-0912.pptx</t>
        </is>
      </c>
      <c r="K17" s="6" t="inlineStr"/>
      <c r="L17" s="6" t="inlineStr"/>
    </row>
    <row r="18">
      <c r="A18" s="26" t="inlineStr">
        <is>
          <t>공통</t>
        </is>
      </c>
      <c r="B18" s="24" t="inlineStr">
        <is>
          <t>문서</t>
        </is>
      </c>
      <c r="C18" s="28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24" t="inlineStr">
        <is>
          <t>권장</t>
        </is>
      </c>
      <c r="G18" s="29" t="inlineStr">
        <is>
          <t>공통 컬럼</t>
        </is>
      </c>
      <c r="H18" s="5" t="inlineStr">
        <is>
          <t>판별 또는 소스 고정</t>
        </is>
      </c>
      <c r="I18" s="5" t="inlineStr">
        <is>
          <t>S08 질의 확장</t>
        </is>
      </c>
      <c r="J18" s="30" t="inlineStr">
        <is>
          <t>ko</t>
        </is>
      </c>
      <c r="K18" s="6" t="inlineStr"/>
      <c r="L18" s="6" t="inlineStr"/>
    </row>
    <row r="19">
      <c r="A19" s="26" t="inlineStr">
        <is>
          <t>공통</t>
        </is>
      </c>
      <c r="B19" s="24" t="inlineStr">
        <is>
          <t>문서</t>
        </is>
      </c>
      <c r="C19" s="28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24" t="inlineStr">
        <is>
          <t>필수</t>
        </is>
      </c>
      <c r="G19" s="29" t="inlineStr">
        <is>
          <t>공통 컬럼</t>
        </is>
      </c>
      <c r="H19" s="5" t="inlineStr">
        <is>
          <t>0 공개 1 사내 2 대외비 3 임원</t>
        </is>
      </c>
      <c r="I19" s="5" t="inlineStr">
        <is>
          <t>S10 필터 · S28 권한</t>
        </is>
      </c>
      <c r="J19" s="30" t="inlineStr">
        <is>
          <t>0</t>
        </is>
      </c>
      <c r="K19" s="6" t="inlineStr"/>
      <c r="L19" s="6" t="inlineStr"/>
    </row>
    <row r="20">
      <c r="A20" s="26" t="inlineStr">
        <is>
          <t>공통</t>
        </is>
      </c>
      <c r="B20" s="24" t="inlineStr">
        <is>
          <t>문서</t>
        </is>
      </c>
      <c r="C20" s="28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24" t="inlineStr">
        <is>
          <t>필수</t>
        </is>
      </c>
      <c r="G20" s="29" t="inlineStr">
        <is>
          <t>공통 컬럼</t>
        </is>
      </c>
      <c r="H20" s="5" t="inlineStr">
        <is>
          <t>SHA-256(정제 본문)</t>
        </is>
      </c>
      <c r="I20" s="5" t="inlineStr">
        <is>
          <t>S01 중복 · 변경 감지</t>
        </is>
      </c>
      <c r="J20" s="30" t="inlineStr">
        <is>
          <t>a3f9…</t>
        </is>
      </c>
      <c r="K20" s="6" t="inlineStr"/>
      <c r="L20" s="6" t="inlineStr"/>
    </row>
    <row r="21">
      <c r="A21" s="26" t="inlineStr">
        <is>
          <t>공통</t>
        </is>
      </c>
      <c r="B21" s="24" t="inlineStr">
        <is>
          <t>문서</t>
        </is>
      </c>
      <c r="C21" s="28" t="inlineStr">
        <is>
          <t>TAGS</t>
        </is>
      </c>
      <c r="D21" s="5" t="inlineStr">
        <is>
          <t>태그 묶음</t>
        </is>
      </c>
      <c r="E21" s="5" t="inlineStr">
        <is>
          <t>CLOB CHECK(IS JSON)</t>
        </is>
      </c>
      <c r="F21" s="24" t="inlineStr">
        <is>
          <t>권장</t>
        </is>
      </c>
      <c r="G21" s="29" t="inlineStr">
        <is>
          <t>공통 컬럼</t>
        </is>
      </c>
      <c r="H21" s="5" t="inlineStr">
        <is>
          <t>LLM 추출 + 사전 (아래 TAGS 스키마)</t>
        </is>
      </c>
      <c r="I21" s="5" t="inlineStr">
        <is>
          <t>S05 · S19 센싱 · S24 라우팅</t>
        </is>
      </c>
      <c r="J21" s="30" t="inlineStr">
        <is>
          <t>{"company":["마이크론"],…}</t>
        </is>
      </c>
      <c r="K21" s="6" t="inlineStr"/>
      <c r="L21" s="6" t="inlineStr"/>
    </row>
    <row r="22">
      <c r="A22" s="26" t="inlineStr">
        <is>
          <t>공통</t>
        </is>
      </c>
      <c r="B22" s="24" t="inlineStr">
        <is>
          <t>문서</t>
        </is>
      </c>
      <c r="C22" s="28" t="inlineStr">
        <is>
          <t>META_EXTRA</t>
        </is>
      </c>
      <c r="D22" s="5" t="inlineStr">
        <is>
          <t>가변 메타 묶음</t>
        </is>
      </c>
      <c r="E22" s="5" t="inlineStr">
        <is>
          <t>CLOB CHECK(IS JSON)</t>
        </is>
      </c>
      <c r="F22" s="24" t="inlineStr">
        <is>
          <t>필수</t>
        </is>
      </c>
      <c r="G22" s="29" t="inlineStr">
        <is>
          <t>공통 컬럼</t>
        </is>
      </c>
      <c r="H22" s="5" t="inlineStr">
        <is>
          <t>소스별 고유 항목 (아래 소스별 표의 JSON 행)</t>
        </is>
      </c>
      <c r="I22" s="5" t="inlineStr">
        <is>
          <t>S05 표시 · 보조 필터</t>
        </is>
      </c>
      <c r="J22" s="30" t="inlineStr">
        <is>
          <t>{"category":"IT/테크",…}</t>
        </is>
      </c>
      <c r="K22" s="6" t="inlineStr"/>
      <c r="L22" s="6" t="inlineStr"/>
    </row>
    <row r="23">
      <c r="A23" s="26" t="inlineStr">
        <is>
          <t>공통</t>
        </is>
      </c>
      <c r="B23" s="24" t="inlineStr">
        <is>
          <t>문서</t>
        </is>
      </c>
      <c r="C23" s="28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24" t="inlineStr">
        <is>
          <t>필수</t>
        </is>
      </c>
      <c r="G23" s="29" t="inlineStr">
        <is>
          <t>공통 컬럼</t>
        </is>
      </c>
      <c r="H23" s="5" t="inlineStr">
        <is>
          <t>원천 삭제 · 폐기 반영</t>
        </is>
      </c>
      <c r="I23" s="5" t="inlineStr">
        <is>
          <t>S06 동기화</t>
        </is>
      </c>
      <c r="J23" s="30" t="inlineStr">
        <is>
          <t>N</t>
        </is>
      </c>
      <c r="K23" s="6" t="inlineStr"/>
      <c r="L23" s="6" t="inlineStr"/>
    </row>
    <row r="24">
      <c r="A24" s="26" t="inlineStr">
        <is>
          <t>공통</t>
        </is>
      </c>
      <c r="B24" s="24" t="inlineStr">
        <is>
          <t>문서</t>
        </is>
      </c>
      <c r="C24" s="28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24" t="inlineStr">
        <is>
          <t>필수</t>
        </is>
      </c>
      <c r="G24" s="29" t="inlineStr">
        <is>
          <t>공통 컬럼</t>
        </is>
      </c>
      <c r="H24" s="5" t="inlineStr">
        <is>
          <t>적재 시각</t>
        </is>
      </c>
      <c r="I24" s="5" t="inlineStr">
        <is>
          <t>S06 증분 동기화</t>
        </is>
      </c>
      <c r="J24" s="30" t="inlineStr">
        <is>
          <t>2026-09-15 09:00</t>
        </is>
      </c>
      <c r="K24" s="6" t="inlineStr"/>
      <c r="L24" s="6" t="inlineStr"/>
    </row>
    <row r="25">
      <c r="A25" s="26" t="inlineStr">
        <is>
          <t>공통</t>
        </is>
      </c>
      <c r="B25" s="24" t="inlineStr">
        <is>
          <t>본문·요약</t>
        </is>
      </c>
      <c r="C25" s="28" t="inlineStr">
        <is>
          <t>DOC_ID</t>
        </is>
      </c>
      <c r="D25" s="5" t="inlineStr">
        <is>
          <t>문서 ID</t>
        </is>
      </c>
      <c r="E25" s="5" t="inlineStr">
        <is>
          <t>VARCHAR2(64)</t>
        </is>
      </c>
      <c r="F25" s="24" t="inlineStr">
        <is>
          <t>필수</t>
        </is>
      </c>
      <c r="G25" s="31" t="inlineStr">
        <is>
          <t>본문 테이블</t>
        </is>
      </c>
      <c r="H25" s="5" t="inlineStr">
        <is>
          <t>RAG_DOC 참조 (1:1)</t>
        </is>
      </c>
      <c r="I25" s="5" t="inlineStr">
        <is>
          <t>전 단계 키</t>
        </is>
      </c>
      <c r="J25" s="30" t="inlineStr">
        <is>
          <t>NEWS_20260915_000123</t>
        </is>
      </c>
      <c r="K25" s="6" t="inlineStr"/>
      <c r="L25" s="6" t="inlineStr"/>
    </row>
    <row r="26">
      <c r="A26" s="26" t="inlineStr">
        <is>
          <t>공통</t>
        </is>
      </c>
      <c r="B26" s="24" t="inlineStr">
        <is>
          <t>본문·요약</t>
        </is>
      </c>
      <c r="C26" s="28" t="inlineStr">
        <is>
          <t>RAW_BODY</t>
        </is>
      </c>
      <c r="D26" s="5" t="inlineStr">
        <is>
          <t>원문 본문</t>
        </is>
      </c>
      <c r="E26" s="5" t="inlineStr">
        <is>
          <t>CLOB</t>
        </is>
      </c>
      <c r="F26" s="24" t="inlineStr">
        <is>
          <t>필수</t>
        </is>
      </c>
      <c r="G26" s="31" t="inlineStr">
        <is>
          <t>본문 테이블</t>
        </is>
      </c>
      <c r="H26" s="5" t="inlineStr">
        <is>
          <t>파서가 뽑은 텍스트 그대로 (정제 전)</t>
        </is>
      </c>
      <c r="I26" s="5" t="inlineStr">
        <is>
          <t>재처리 기준 · 파싱 품질 점검(S02)</t>
        </is>
      </c>
      <c r="J26" s="30" t="inlineStr">
        <is>
          <t>마이크론이 일본 히로시마… \n관련기사\n- 삼성전자…\n무단 전재 및 재배포 금지</t>
        </is>
      </c>
      <c r="K26" s="6" t="inlineStr"/>
      <c r="L26" s="6" t="inlineStr"/>
    </row>
    <row r="27">
      <c r="A27" s="26" t="inlineStr">
        <is>
          <t>공통</t>
        </is>
      </c>
      <c r="B27" s="24" t="inlineStr">
        <is>
          <t>본문·요약</t>
        </is>
      </c>
      <c r="C27" s="28" t="inlineStr">
        <is>
          <t>CLEAN_BODY</t>
        </is>
      </c>
      <c r="D27" s="5" t="inlineStr">
        <is>
          <t>정제 본문</t>
        </is>
      </c>
      <c r="E27" s="5" t="inlineStr">
        <is>
          <t>CLOB</t>
        </is>
      </c>
      <c r="F27" s="24" t="inlineStr">
        <is>
          <t>필수</t>
        </is>
      </c>
      <c r="G27" s="31" t="inlineStr">
        <is>
          <t>본문 테이블</t>
        </is>
      </c>
      <c r="H27" s="5" t="inlineStr">
        <is>
          <t>노이즈 · 인용 · 서명 제거 후</t>
        </is>
      </c>
      <c r="I27" s="5" t="inlineStr">
        <is>
          <t>S03 청킹 입력 · CONTENT_HASH 계산</t>
        </is>
      </c>
      <c r="J27" s="30" t="inlineStr">
        <is>
          <t>마이크론이 일본 히로시마 공장에 HBM 전용 라인을 증설한다고 15일 밝혔다…</t>
        </is>
      </c>
      <c r="K27" s="6" t="inlineStr"/>
      <c r="L27" s="6" t="inlineStr"/>
    </row>
    <row r="28">
      <c r="A28" s="26" t="inlineStr">
        <is>
          <t>공통</t>
        </is>
      </c>
      <c r="B28" s="24" t="inlineStr">
        <is>
          <t>본문·요약</t>
        </is>
      </c>
      <c r="C28" s="28" t="inlineStr">
        <is>
          <t>BODY_FORMAT</t>
        </is>
      </c>
      <c r="D28" s="5" t="inlineStr">
        <is>
          <t>본문 형식</t>
        </is>
      </c>
      <c r="E28" s="5" t="inlineStr">
        <is>
          <t>VARCHAR2(10)</t>
        </is>
      </c>
      <c r="F28" s="24" t="inlineStr">
        <is>
          <t>권장</t>
        </is>
      </c>
      <c r="G28" s="31" t="inlineStr">
        <is>
          <t>본문 테이블</t>
        </is>
      </c>
      <c r="H28" s="5" t="inlineStr">
        <is>
          <t>TEXT / MARKDOWN / HTML</t>
        </is>
      </c>
      <c r="I28" s="5" t="inlineStr">
        <is>
          <t>표 보존 여부 판단(S02)</t>
        </is>
      </c>
      <c r="J28" s="30" t="inlineStr">
        <is>
          <t>MARKDOWN</t>
        </is>
      </c>
      <c r="K28" s="6" t="inlineStr"/>
      <c r="L28" s="6" t="inlineStr"/>
    </row>
    <row r="29">
      <c r="A29" s="26" t="inlineStr">
        <is>
          <t>공통</t>
        </is>
      </c>
      <c r="B29" s="24" t="inlineStr">
        <is>
          <t>본문·요약</t>
        </is>
      </c>
      <c r="C29" s="28" t="inlineStr">
        <is>
          <t>CHAR_CNT</t>
        </is>
      </c>
      <c r="D29" s="5" t="inlineStr">
        <is>
          <t>글자 수</t>
        </is>
      </c>
      <c r="E29" s="5" t="inlineStr">
        <is>
          <t>NUMBER(9)</t>
        </is>
      </c>
      <c r="F29" s="24" t="inlineStr">
        <is>
          <t>권장</t>
        </is>
      </c>
      <c r="G29" s="31" t="inlineStr">
        <is>
          <t>본문 테이블</t>
        </is>
      </c>
      <c r="H29" s="5" t="inlineStr">
        <is>
          <t>정제 본문 길이</t>
        </is>
      </c>
      <c r="I29" s="5" t="inlineStr">
        <is>
          <t>청크 수 예측 · 이상 탐지</t>
        </is>
      </c>
      <c r="J29" s="30" t="inlineStr">
        <is>
          <t>842</t>
        </is>
      </c>
      <c r="K29" s="6" t="inlineStr"/>
      <c r="L29" s="6" t="inlineStr"/>
    </row>
    <row r="30">
      <c r="A30" s="26" t="inlineStr">
        <is>
          <t>공통</t>
        </is>
      </c>
      <c r="B30" s="24" t="inlineStr">
        <is>
          <t>본문·요약</t>
        </is>
      </c>
      <c r="C30" s="28" t="inlineStr">
        <is>
          <t>TOKEN_CNT</t>
        </is>
      </c>
      <c r="D30" s="5" t="inlineStr">
        <is>
          <t>토큰 수</t>
        </is>
      </c>
      <c r="E30" s="5" t="inlineStr">
        <is>
          <t>NUMBER(9)</t>
        </is>
      </c>
      <c r="F30" s="24" t="inlineStr">
        <is>
          <t>권장</t>
        </is>
      </c>
      <c r="G30" s="31" t="inlineStr">
        <is>
          <t>본문 테이블</t>
        </is>
      </c>
      <c r="H30" s="5" t="inlineStr">
        <is>
          <t>임베딩 토크나이저 기준</t>
        </is>
      </c>
      <c r="I30" s="5" t="inlineStr">
        <is>
          <t>S04-1 max_length 점검</t>
        </is>
      </c>
      <c r="J30" s="30" t="inlineStr">
        <is>
          <t>512</t>
        </is>
      </c>
      <c r="K30" s="6" t="inlineStr"/>
      <c r="L30" s="6" t="inlineStr"/>
    </row>
    <row r="31">
      <c r="A31" s="26" t="inlineStr">
        <is>
          <t>공통</t>
        </is>
      </c>
      <c r="B31" s="24" t="inlineStr">
        <is>
          <t>본문·요약</t>
        </is>
      </c>
      <c r="C31" s="28" t="inlineStr">
        <is>
          <t>TABLE_CNT</t>
        </is>
      </c>
      <c r="D31" s="5" t="inlineStr">
        <is>
          <t>표 개수</t>
        </is>
      </c>
      <c r="E31" s="5" t="inlineStr">
        <is>
          <t>NUMBER(4)</t>
        </is>
      </c>
      <c r="F31" s="24" t="inlineStr">
        <is>
          <t>권장</t>
        </is>
      </c>
      <c r="G31" s="31" t="inlineStr">
        <is>
          <t>본문 테이블</t>
        </is>
      </c>
      <c r="H31" s="5" t="inlineStr">
        <is>
          <t>파싱 결과</t>
        </is>
      </c>
      <c r="I31" s="5" t="inlineStr">
        <is>
          <t>S02 표 파싱 품질 · 표 청크 예상</t>
        </is>
      </c>
      <c r="J31" s="30" t="inlineStr">
        <is>
          <t>2</t>
        </is>
      </c>
      <c r="K31" s="6" t="inlineStr"/>
      <c r="L31" s="6" t="inlineStr"/>
    </row>
    <row r="32">
      <c r="A32" s="26" t="inlineStr">
        <is>
          <t>공통</t>
        </is>
      </c>
      <c r="B32" s="24" t="inlineStr">
        <is>
          <t>본문·요약</t>
        </is>
      </c>
      <c r="C32" s="28" t="inlineStr">
        <is>
          <t>PARSER_VER</t>
        </is>
      </c>
      <c r="D32" s="5" t="inlineStr">
        <is>
          <t>파서 버전</t>
        </is>
      </c>
      <c r="E32" s="5" t="inlineStr">
        <is>
          <t>VARCHAR2(16)</t>
        </is>
      </c>
      <c r="F32" s="24" t="inlineStr">
        <is>
          <t>권장</t>
        </is>
      </c>
      <c r="G32" s="31" t="inlineStr">
        <is>
          <t>본문 테이블</t>
        </is>
      </c>
      <c r="H32" s="5" t="inlineStr">
        <is>
          <t>파싱 모듈 버전</t>
        </is>
      </c>
      <c r="I32" s="5" t="inlineStr">
        <is>
          <t>파서 교체 전후 비교</t>
        </is>
      </c>
      <c r="J32" s="30" t="inlineStr">
        <is>
          <t>docling-1.2</t>
        </is>
      </c>
      <c r="K32" s="6" t="inlineStr"/>
      <c r="L32" s="6" t="inlineStr"/>
    </row>
    <row r="33">
      <c r="A33" s="26" t="inlineStr">
        <is>
          <t>공통</t>
        </is>
      </c>
      <c r="B33" s="24" t="inlineStr">
        <is>
          <t>본문·요약</t>
        </is>
      </c>
      <c r="C33" s="28" t="inlineStr">
        <is>
          <t>PARSE_STATUS</t>
        </is>
      </c>
      <c r="D33" s="5" t="inlineStr">
        <is>
          <t>파싱 상태</t>
        </is>
      </c>
      <c r="E33" s="5" t="inlineStr">
        <is>
          <t>VARCHAR2(10)</t>
        </is>
      </c>
      <c r="F33" s="24" t="inlineStr">
        <is>
          <t>권장</t>
        </is>
      </c>
      <c r="G33" s="31" t="inlineStr">
        <is>
          <t>본문 테이블</t>
        </is>
      </c>
      <c r="H33" s="5" t="inlineStr">
        <is>
          <t>OK / PARTIAL / FAILED</t>
        </is>
      </c>
      <c r="I33" s="5" t="inlineStr">
        <is>
          <t>실패 문서 재처리 대상 추출</t>
        </is>
      </c>
      <c r="J33" s="30" t="inlineStr">
        <is>
          <t>OK</t>
        </is>
      </c>
      <c r="K33" s="6" t="inlineStr"/>
      <c r="L33" s="6" t="inlineStr"/>
    </row>
    <row r="34">
      <c r="A34" s="26" t="inlineStr">
        <is>
          <t>공통</t>
        </is>
      </c>
      <c r="B34" s="24" t="inlineStr">
        <is>
          <t>본문·요약</t>
        </is>
      </c>
      <c r="C34" s="28" t="inlineStr">
        <is>
          <t>CLEAN_VER</t>
        </is>
      </c>
      <c r="D34" s="5" t="inlineStr">
        <is>
          <t>정제 규칙 버전</t>
        </is>
      </c>
      <c r="E34" s="5" t="inlineStr">
        <is>
          <t>VARCHAR2(16)</t>
        </is>
      </c>
      <c r="F34" s="24" t="inlineStr">
        <is>
          <t>권장</t>
        </is>
      </c>
      <c r="G34" s="31" t="inlineStr">
        <is>
          <t>본문 테이블</t>
        </is>
      </c>
      <c r="H34" s="5" t="inlineStr">
        <is>
          <t>소스별 정제 규칙 버전</t>
        </is>
      </c>
      <c r="I34" s="5" t="inlineStr">
        <is>
          <t>규칙 바꾼 뒤 재청킹 대상 식별</t>
        </is>
      </c>
      <c r="J34" s="30" t="inlineStr">
        <is>
          <t>clean-v2</t>
        </is>
      </c>
      <c r="K34" s="6" t="inlineStr"/>
      <c r="L34" s="6" t="inlineStr"/>
    </row>
    <row r="35">
      <c r="A35" s="26" t="inlineStr">
        <is>
          <t>공통</t>
        </is>
      </c>
      <c r="B35" s="24" t="inlineStr">
        <is>
          <t>본문·요약</t>
        </is>
      </c>
      <c r="C35" s="28" t="inlineStr">
        <is>
          <t>SUMMARY</t>
        </is>
      </c>
      <c r="D35" s="5" t="inlineStr">
        <is>
          <t>문서 요약</t>
        </is>
      </c>
      <c r="E35" s="5" t="inlineStr">
        <is>
          <t>VARCHAR2(4000) / CLOB</t>
        </is>
      </c>
      <c r="F35" s="24" t="inlineStr">
        <is>
          <t>권장</t>
        </is>
      </c>
      <c r="G35" s="31" t="inlineStr">
        <is>
          <t>본문 테이블</t>
        </is>
      </c>
      <c r="H35" s="5" t="inlineStr">
        <is>
          <t>사내 LLM (적재 후 배치)</t>
        </is>
      </c>
      <c r="I35" s="5" t="inlineStr">
        <is>
          <t>검색 결과 목록 표시 · 긴 문서 컨텍스트 압축 · 센싱 리포트</t>
        </is>
      </c>
      <c r="J35" s="30" t="inlineStr">
        <is>
          <t>마이크론이 히로시마에 HBM 라인을 증설한다. 투자 5조원, 2027년 하반기 양산 목표.</t>
        </is>
      </c>
      <c r="K35" s="6" t="inlineStr"/>
      <c r="L35" s="6" t="inlineStr"/>
    </row>
    <row r="36">
      <c r="A36" s="26" t="inlineStr">
        <is>
          <t>공통</t>
        </is>
      </c>
      <c r="B36" s="24" t="inlineStr">
        <is>
          <t>본문·요약</t>
        </is>
      </c>
      <c r="C36" s="28" t="inlineStr">
        <is>
          <t>KEY_POINTS</t>
        </is>
      </c>
      <c r="D36" s="5" t="inlineStr">
        <is>
          <t>핵심 포인트</t>
        </is>
      </c>
      <c r="E36" s="5" t="inlineStr">
        <is>
          <t>CLOB(JSON array)</t>
        </is>
      </c>
      <c r="F36" s="24" t="inlineStr">
        <is>
          <t>선택</t>
        </is>
      </c>
      <c r="G36" s="31" t="inlineStr">
        <is>
          <t>본문 테이블</t>
        </is>
      </c>
      <c r="H36" s="5" t="inlineStr">
        <is>
          <t>사내 LLM (요약과 함께)</t>
        </is>
      </c>
      <c r="I36" s="5" t="inlineStr">
        <is>
          <t>요약 카드 · 센싱 근거 표시</t>
        </is>
      </c>
      <c r="J36" s="30" t="inlineStr">
        <is>
          <t>["투자 5조원","2027 하반기 양산","HBM4 경쟁 본격화"]</t>
        </is>
      </c>
      <c r="K36" s="6" t="inlineStr"/>
      <c r="L36" s="6" t="inlineStr"/>
    </row>
    <row r="37">
      <c r="A37" s="26" t="inlineStr">
        <is>
          <t>공통</t>
        </is>
      </c>
      <c r="B37" s="24" t="inlineStr">
        <is>
          <t>본문·요약</t>
        </is>
      </c>
      <c r="C37" s="28" t="inlineStr">
        <is>
          <t>SUMMARY_MODEL</t>
        </is>
      </c>
      <c r="D37" s="5" t="inlineStr">
        <is>
          <t>요약 모델 · 버전</t>
        </is>
      </c>
      <c r="E37" s="5" t="inlineStr">
        <is>
          <t>VARCHAR2(64)</t>
        </is>
      </c>
      <c r="F37" s="24" t="inlineStr">
        <is>
          <t>권장</t>
        </is>
      </c>
      <c r="G37" s="31" t="inlineStr">
        <is>
          <t>본문 테이블</t>
        </is>
      </c>
      <c r="H37" s="5" t="inlineStr">
        <is>
          <t>요약 생성 시 기록</t>
        </is>
      </c>
      <c r="I37" s="5" t="inlineStr">
        <is>
          <t>모델 바꾸면 재생성 대상 식별</t>
        </is>
      </c>
      <c r="J37" s="30" t="inlineStr">
        <is>
          <t>inhouse-llm-v2 / sum-p3</t>
        </is>
      </c>
      <c r="K37" s="6" t="inlineStr"/>
      <c r="L37" s="6" t="inlineStr"/>
    </row>
    <row r="38">
      <c r="A38" s="26" t="inlineStr">
        <is>
          <t>공통</t>
        </is>
      </c>
      <c r="B38" s="24" t="inlineStr">
        <is>
          <t>본문·요약</t>
        </is>
      </c>
      <c r="C38" s="28" t="inlineStr">
        <is>
          <t>SUMMARY_AT</t>
        </is>
      </c>
      <c r="D38" s="5" t="inlineStr">
        <is>
          <t>요약 생성 시각</t>
        </is>
      </c>
      <c r="E38" s="5" t="inlineStr">
        <is>
          <t>DATE</t>
        </is>
      </c>
      <c r="F38" s="24" t="inlineStr">
        <is>
          <t>권장</t>
        </is>
      </c>
      <c r="G38" s="31" t="inlineStr">
        <is>
          <t>본문 테이블</t>
        </is>
      </c>
      <c r="H38" s="5" t="inlineStr">
        <is>
          <t>요약 배치</t>
        </is>
      </c>
      <c r="I38" s="5" t="inlineStr">
        <is>
          <t>본문 갱신 후 재요약 판단</t>
        </is>
      </c>
      <c r="J38" s="30" t="inlineStr">
        <is>
          <t>2026-09-15 10:30</t>
        </is>
      </c>
      <c r="K38" s="6" t="inlineStr"/>
      <c r="L38" s="6" t="inlineStr"/>
    </row>
    <row r="39">
      <c r="A39" s="26" t="inlineStr">
        <is>
          <t>공통</t>
        </is>
      </c>
      <c r="B39" s="24" t="inlineStr">
        <is>
          <t>청크</t>
        </is>
      </c>
      <c r="C39" s="28" t="inlineStr">
        <is>
          <t>CHUNK_ID</t>
        </is>
      </c>
      <c r="D39" s="5" t="inlineStr">
        <is>
          <t>청크 ID</t>
        </is>
      </c>
      <c r="E39" s="5" t="inlineStr">
        <is>
          <t>VARCHAR2(100)</t>
        </is>
      </c>
      <c r="F39" s="24" t="inlineStr">
        <is>
          <t>필수</t>
        </is>
      </c>
      <c r="G39" s="32" t="inlineStr">
        <is>
          <t>청크 컬럼</t>
        </is>
      </c>
      <c r="H39" s="5" t="inlineStr">
        <is>
          <t>DOC_ID + 순번</t>
        </is>
      </c>
      <c r="I39" s="5" t="inlineStr">
        <is>
          <t>S06 Milvus PK</t>
        </is>
      </c>
      <c r="J39" s="30" t="inlineStr">
        <is>
          <t>NEWS_20260915_000123_0001</t>
        </is>
      </c>
      <c r="K39" s="6" t="inlineStr"/>
      <c r="L39" s="6" t="inlineStr"/>
    </row>
    <row r="40">
      <c r="A40" s="26" t="inlineStr">
        <is>
          <t>공통</t>
        </is>
      </c>
      <c r="B40" s="24" t="inlineStr">
        <is>
          <t>청크</t>
        </is>
      </c>
      <c r="C40" s="28" t="inlineStr">
        <is>
          <t>DOC_ID</t>
        </is>
      </c>
      <c r="D40" s="5" t="inlineStr">
        <is>
          <t>문서 ID</t>
        </is>
      </c>
      <c r="E40" s="5" t="inlineStr">
        <is>
          <t>VARCHAR2(64)</t>
        </is>
      </c>
      <c r="F40" s="24" t="inlineStr">
        <is>
          <t>필수</t>
        </is>
      </c>
      <c r="G40" s="32" t="inlineStr">
        <is>
          <t>청크 컬럼</t>
        </is>
      </c>
      <c r="H40" s="5" t="inlineStr">
        <is>
          <t>RAG_DOC 참조</t>
        </is>
      </c>
      <c r="I40" s="5" t="inlineStr">
        <is>
          <t>인용 · 문서당 상한</t>
        </is>
      </c>
      <c r="J40" s="30" t="inlineStr">
        <is>
          <t>NEWS_20260915_000123</t>
        </is>
      </c>
      <c r="K40" s="6" t="inlineStr"/>
      <c r="L40" s="6" t="inlineStr"/>
    </row>
    <row r="41">
      <c r="A41" s="26" t="inlineStr">
        <is>
          <t>공통</t>
        </is>
      </c>
      <c r="B41" s="24" t="inlineStr">
        <is>
          <t>청크</t>
        </is>
      </c>
      <c r="C41" s="28" t="inlineStr">
        <is>
          <t>CHUNK_SEQ</t>
        </is>
      </c>
      <c r="D41" s="5" t="inlineStr">
        <is>
          <t>순번</t>
        </is>
      </c>
      <c r="E41" s="5" t="inlineStr">
        <is>
          <t>NUMBER(6)</t>
        </is>
      </c>
      <c r="F41" s="24" t="inlineStr">
        <is>
          <t>필수</t>
        </is>
      </c>
      <c r="G41" s="32" t="inlineStr">
        <is>
          <t>청크 컬럼</t>
        </is>
      </c>
      <c r="H41" s="5" t="inlineStr">
        <is>
          <t>분할 순서</t>
        </is>
      </c>
      <c r="I41" s="5" t="inlineStr">
        <is>
          <t>인접 확장</t>
        </is>
      </c>
      <c r="J41" s="30" t="inlineStr">
        <is>
          <t>1</t>
        </is>
      </c>
      <c r="K41" s="6" t="inlineStr"/>
      <c r="L41" s="6" t="inlineStr"/>
    </row>
    <row r="42">
      <c r="A42" s="26" t="inlineStr">
        <is>
          <t>공통</t>
        </is>
      </c>
      <c r="B42" s="24" t="inlineStr">
        <is>
          <t>청크</t>
        </is>
      </c>
      <c r="C42" s="28" t="inlineStr">
        <is>
          <t>PARENT_ID</t>
        </is>
      </c>
      <c r="D42" s="5" t="inlineStr">
        <is>
          <t>부모 청크</t>
        </is>
      </c>
      <c r="E42" s="5" t="inlineStr">
        <is>
          <t>VARCHAR2(100)</t>
        </is>
      </c>
      <c r="F42" s="24" t="inlineStr">
        <is>
          <t>선택</t>
        </is>
      </c>
      <c r="G42" s="32" t="inlineStr">
        <is>
          <t>청크 컬럼</t>
        </is>
      </c>
      <c r="H42" s="5" t="inlineStr">
        <is>
          <t>Parent-Child 구조</t>
        </is>
      </c>
      <c r="I42" s="5" t="inlineStr">
        <is>
          <t>S03-4 · S13 확장</t>
        </is>
      </c>
      <c r="J42" s="30" t="inlineStr"/>
      <c r="K42" s="6" t="inlineStr"/>
      <c r="L42" s="6" t="inlineStr"/>
    </row>
    <row r="43">
      <c r="A43" s="26" t="inlineStr">
        <is>
          <t>공통</t>
        </is>
      </c>
      <c r="B43" s="24" t="inlineStr">
        <is>
          <t>청크</t>
        </is>
      </c>
      <c r="C43" s="28" t="inlineStr">
        <is>
          <t>CHUNK_KIND</t>
        </is>
      </c>
      <c r="D43" s="5" t="inlineStr">
        <is>
          <t>청크 종류</t>
        </is>
      </c>
      <c r="E43" s="5" t="inlineStr">
        <is>
          <t>VARCHAR2(10)</t>
        </is>
      </c>
      <c r="F43" s="24" t="inlineStr">
        <is>
          <t>권장</t>
        </is>
      </c>
      <c r="G43" s="32" t="inlineStr">
        <is>
          <t>청크 컬럼</t>
        </is>
      </c>
      <c r="H43" s="5" t="inlineStr">
        <is>
          <t>TEXT / TABLE / SUMMARY</t>
        </is>
      </c>
      <c r="I43" s="5" t="inlineStr">
        <is>
          <t>S03 표 분리 · 수치 질문</t>
        </is>
      </c>
      <c r="J43" s="30" t="inlineStr">
        <is>
          <t>TEXT</t>
        </is>
      </c>
      <c r="K43" s="6" t="inlineStr"/>
      <c r="L43" s="6" t="inlineStr"/>
    </row>
    <row r="44">
      <c r="A44" s="26" t="inlineStr">
        <is>
          <t>공통</t>
        </is>
      </c>
      <c r="B44" s="24" t="inlineStr">
        <is>
          <t>청크</t>
        </is>
      </c>
      <c r="C44" s="28" t="inlineStr">
        <is>
          <t>SECTION_PATH</t>
        </is>
      </c>
      <c r="D44" s="5" t="inlineStr">
        <is>
          <t>섹션 경로</t>
        </is>
      </c>
      <c r="E44" s="5" t="inlineStr">
        <is>
          <t>VARCHAR2(1000 CHAR)</t>
        </is>
      </c>
      <c r="F44" s="24" t="inlineStr">
        <is>
          <t>권장</t>
        </is>
      </c>
      <c r="G44" s="32" t="inlineStr">
        <is>
          <t>청크 컬럼</t>
        </is>
      </c>
      <c r="H44" s="5" t="inlineStr">
        <is>
          <t>헤딩 · 안건 · 슬라이드 번호</t>
        </is>
      </c>
      <c r="I44" s="5" t="inlineStr">
        <is>
          <t>S03 헤더 · 인용</t>
        </is>
      </c>
      <c r="J44" s="30" t="inlineStr">
        <is>
          <t>3. 공급 &gt; 3.2 DRAM 증설</t>
        </is>
      </c>
      <c r="K44" s="6" t="inlineStr"/>
      <c r="L44" s="6" t="inlineStr"/>
    </row>
    <row r="45">
      <c r="A45" s="26" t="inlineStr">
        <is>
          <t>공통</t>
        </is>
      </c>
      <c r="B45" s="24" t="inlineStr">
        <is>
          <t>청크</t>
        </is>
      </c>
      <c r="C45" s="28" t="inlineStr">
        <is>
          <t>HEADER_TEXT</t>
        </is>
      </c>
      <c r="D45" s="5" t="inlineStr">
        <is>
          <t>문맥 헤더</t>
        </is>
      </c>
      <c r="E45" s="5" t="inlineStr">
        <is>
          <t>VARCHAR2(1000 CHAR)</t>
        </is>
      </c>
      <c r="F45" s="24" t="inlineStr">
        <is>
          <t>필수</t>
        </is>
      </c>
      <c r="G45" s="32" t="inlineStr">
        <is>
          <t>청크 컬럼</t>
        </is>
      </c>
      <c r="H45" s="5" t="inlineStr">
        <is>
          <t>[유형|날짜|기관|제목|섹션] 생성</t>
        </is>
      </c>
      <c r="I45" s="5" t="inlineStr">
        <is>
          <t>S03-3 · S04 dense 입력</t>
        </is>
      </c>
      <c r="J45" s="30" t="inlineStr">
        <is>
          <t>[뉴스 | 2026-09-15 | 한국경제 | …]</t>
        </is>
      </c>
      <c r="K45" s="6" t="inlineStr"/>
      <c r="L45" s="6" t="inlineStr"/>
    </row>
    <row r="46">
      <c r="A46" s="26" t="inlineStr">
        <is>
          <t>공통</t>
        </is>
      </c>
      <c r="B46" s="24" t="inlineStr">
        <is>
          <t>청크</t>
        </is>
      </c>
      <c r="C46" s="28" t="inlineStr">
        <is>
          <t>CHUNK_TEXT</t>
        </is>
      </c>
      <c r="D46" s="5" t="inlineStr">
        <is>
          <t>청크 본문</t>
        </is>
      </c>
      <c r="E46" s="5" t="inlineStr">
        <is>
          <t>CLOB</t>
        </is>
      </c>
      <c r="F46" s="24" t="inlineStr">
        <is>
          <t>필수</t>
        </is>
      </c>
      <c r="G46" s="32" t="inlineStr">
        <is>
          <t>청크 컬럼</t>
        </is>
      </c>
      <c r="H46" s="5" t="inlineStr">
        <is>
          <t>정제 후 분할</t>
        </is>
      </c>
      <c r="I46" s="5" t="inlineStr">
        <is>
          <t>S04 임베딩 · S12 리랭크</t>
        </is>
      </c>
      <c r="J46" s="30" t="inlineStr">
        <is>
          <t>마이크론이 일본 히로시마 공장에…</t>
        </is>
      </c>
      <c r="K46" s="6" t="inlineStr"/>
      <c r="L46" s="6" t="inlineStr"/>
    </row>
    <row r="47">
      <c r="A47" s="26" t="inlineStr">
        <is>
          <t>공통</t>
        </is>
      </c>
      <c r="B47" s="24" t="inlineStr">
        <is>
          <t>청크</t>
        </is>
      </c>
      <c r="C47" s="28" t="inlineStr">
        <is>
          <t>TOKEN_CNT</t>
        </is>
      </c>
      <c r="D47" s="5" t="inlineStr">
        <is>
          <t>토큰 수</t>
        </is>
      </c>
      <c r="E47" s="5" t="inlineStr">
        <is>
          <t>NUMBER(6)</t>
        </is>
      </c>
      <c r="F47" s="24" t="inlineStr">
        <is>
          <t>권장</t>
        </is>
      </c>
      <c r="G47" s="32" t="inlineStr">
        <is>
          <t>청크 컬럼</t>
        </is>
      </c>
      <c r="H47" s="5" t="inlineStr">
        <is>
          <t>임베딩 토크나이저</t>
        </is>
      </c>
      <c r="I47" s="5" t="inlineStr">
        <is>
          <t>S04-1 잘림 점검</t>
        </is>
      </c>
      <c r="J47" s="30" t="inlineStr">
        <is>
          <t>412</t>
        </is>
      </c>
      <c r="K47" s="6" t="inlineStr"/>
      <c r="L47" s="6" t="inlineStr"/>
    </row>
    <row r="48">
      <c r="A48" s="26" t="inlineStr">
        <is>
          <t>공통</t>
        </is>
      </c>
      <c r="B48" s="24" t="inlineStr">
        <is>
          <t>청크</t>
        </is>
      </c>
      <c r="C48" s="28" t="inlineStr">
        <is>
          <t>CHUNKER_VER</t>
        </is>
      </c>
      <c r="D48" s="5" t="inlineStr">
        <is>
          <t>청커 버전</t>
        </is>
      </c>
      <c r="E48" s="5" t="inlineStr">
        <is>
          <t>VARCHAR2(16)</t>
        </is>
      </c>
      <c r="F48" s="24" t="inlineStr">
        <is>
          <t>권장</t>
        </is>
      </c>
      <c r="G48" s="32" t="inlineStr">
        <is>
          <t>청크 컬럼</t>
        </is>
      </c>
      <c r="H48" s="5" t="inlineStr">
        <is>
          <t>분할 규칙 버전</t>
        </is>
      </c>
      <c r="I48" s="5" t="inlineStr">
        <is>
          <t>재청킹 비교</t>
        </is>
      </c>
      <c r="J48" s="30" t="inlineStr">
        <is>
          <t>v2</t>
        </is>
      </c>
      <c r="K48" s="6" t="inlineStr"/>
      <c r="L48" s="6" t="inlineStr"/>
    </row>
    <row r="49">
      <c r="A49" s="26" t="inlineStr">
        <is>
          <t>공통</t>
        </is>
      </c>
      <c r="B49" s="24" t="inlineStr">
        <is>
          <t>청크</t>
        </is>
      </c>
      <c r="C49" s="28" t="inlineStr">
        <is>
          <t>CHUNK_SUMMARY</t>
        </is>
      </c>
      <c r="D49" s="5" t="inlineStr">
        <is>
          <t>청크 한 줄 요약</t>
        </is>
      </c>
      <c r="E49" s="5" t="inlineStr">
        <is>
          <t>VARCHAR2(500 CHAR)</t>
        </is>
      </c>
      <c r="F49" s="24" t="inlineStr">
        <is>
          <t>선택</t>
        </is>
      </c>
      <c r="G49" s="32" t="inlineStr">
        <is>
          <t>청크 컬럼</t>
        </is>
      </c>
      <c r="H49" s="5" t="inlineStr">
        <is>
          <t>사내 LLM (표 · 긴 청크만)</t>
        </is>
      </c>
      <c r="I49" s="5" t="inlineStr">
        <is>
          <t>표 청크의 검색력 보강 · 결과 목록 표시</t>
        </is>
      </c>
      <c r="J49" s="30" t="inlineStr">
        <is>
          <t>3Q26~1Q27 DRAM · NAND 계약가 분기별 전망표</t>
        </is>
      </c>
      <c r="K49" s="6" t="inlineStr"/>
      <c r="L49" s="6" t="inlineStr"/>
    </row>
    <row r="50">
      <c r="A50" s="26" t="inlineStr">
        <is>
          <t>공통</t>
        </is>
      </c>
      <c r="B50" s="24" t="inlineStr">
        <is>
          <t>청크</t>
        </is>
      </c>
      <c r="C50" s="28" t="inlineStr">
        <is>
          <t>EMBED_INPUT</t>
        </is>
      </c>
      <c r="D50" s="5" t="inlineStr">
        <is>
          <t>임베딩 입력 원문</t>
        </is>
      </c>
      <c r="E50" s="5" t="inlineStr">
        <is>
          <t>CLOB</t>
        </is>
      </c>
      <c r="F50" s="24" t="inlineStr">
        <is>
          <t>선택</t>
        </is>
      </c>
      <c r="G50" s="32" t="inlineStr">
        <is>
          <t>청크 컬럼</t>
        </is>
      </c>
      <c r="H50" s="5" t="inlineStr">
        <is>
          <t>HEADER_TEXT + CHUNK_TEXT 실제 결합 결과</t>
        </is>
      </c>
      <c r="I50" s="5" t="inlineStr">
        <is>
          <t>무엇을 임베딩했는지 재현 · 디버깅</t>
        </is>
      </c>
      <c r="J50" s="30" t="inlineStr">
        <is>
          <t>[뉴스 | 2026-09-15 | 한국경제 | …]\n마이크론이 일본…</t>
        </is>
      </c>
      <c r="K50" s="6" t="inlineStr"/>
      <c r="L50" s="6" t="inlineStr"/>
    </row>
    <row r="51">
      <c r="A51" s="26" t="inlineStr">
        <is>
          <t>소스별</t>
        </is>
      </c>
      <c r="B51" s="24" t="inlineStr">
        <is>
          <t>뉴스</t>
        </is>
      </c>
      <c r="C51" s="28" t="inlineStr">
        <is>
          <t>ORG_NAME ← publisher</t>
        </is>
      </c>
      <c r="D51" s="5" t="inlineStr">
        <is>
          <t>언론사</t>
        </is>
      </c>
      <c r="E51" s="5" t="inlineStr">
        <is>
          <t>VARCHAR2(200 CHAR)</t>
        </is>
      </c>
      <c r="F51" s="24" t="inlineStr">
        <is>
          <t>필수</t>
        </is>
      </c>
      <c r="G51" s="29" t="inlineStr">
        <is>
          <t>공통 컬럼</t>
        </is>
      </c>
      <c r="H51" s="5" t="inlineStr">
        <is>
          <t>수집 메타 → 공통 컬럼에 적재</t>
        </is>
      </c>
      <c r="I51" s="5" t="inlineStr">
        <is>
          <t>필터 · 인용</t>
        </is>
      </c>
      <c r="J51" s="30" t="inlineStr">
        <is>
          <t>한국경제</t>
        </is>
      </c>
      <c r="K51" s="6" t="inlineStr"/>
      <c r="L51" s="6" t="inlineStr"/>
    </row>
    <row r="52">
      <c r="A52" s="26" t="inlineStr">
        <is>
          <t>소스별</t>
        </is>
      </c>
      <c r="B52" s="24" t="inlineStr">
        <is>
          <t>뉴스</t>
        </is>
      </c>
      <c r="C52" s="28" t="inlineStr">
        <is>
          <t>AUTHOR ← reporter</t>
        </is>
      </c>
      <c r="D52" s="5" t="inlineStr">
        <is>
          <t>기자</t>
        </is>
      </c>
      <c r="E52" s="5" t="inlineStr">
        <is>
          <t>VARCHAR2(200 CHAR)</t>
        </is>
      </c>
      <c r="F52" s="24" t="inlineStr">
        <is>
          <t>권장</t>
        </is>
      </c>
      <c r="G52" s="29" t="inlineStr">
        <is>
          <t>공통 컬럼</t>
        </is>
      </c>
      <c r="H52" s="5" t="inlineStr">
        <is>
          <t>기사 바이라인 → 공통 컬럼</t>
        </is>
      </c>
      <c r="I52" s="5" t="inlineStr">
        <is>
          <t>인용</t>
        </is>
      </c>
      <c r="J52" s="30" t="inlineStr">
        <is>
          <t>김기술</t>
        </is>
      </c>
      <c r="K52" s="6" t="inlineStr"/>
      <c r="L52" s="6" t="inlineStr"/>
    </row>
    <row r="53">
      <c r="A53" s="26" t="inlineStr">
        <is>
          <t>소스별</t>
        </is>
      </c>
      <c r="B53" s="24" t="inlineStr">
        <is>
          <t>뉴스</t>
        </is>
      </c>
      <c r="C53" s="28" t="inlineStr">
        <is>
          <t>category</t>
        </is>
      </c>
      <c r="D53" s="5" t="inlineStr">
        <is>
          <t>분야</t>
        </is>
      </c>
      <c r="E53" s="5" t="inlineStr">
        <is>
          <t>string</t>
        </is>
      </c>
      <c r="F53" s="24" t="inlineStr">
        <is>
          <t>권장</t>
        </is>
      </c>
      <c r="G53" s="33" t="inlineStr">
        <is>
          <t>META_EXTRA</t>
        </is>
      </c>
      <c r="H53" s="5" t="inlineStr">
        <is>
          <t>언론사 분류</t>
        </is>
      </c>
      <c r="I53" s="5" t="inlineStr">
        <is>
          <t>표시 · 센싱 축 매핑</t>
        </is>
      </c>
      <c r="J53" s="30" t="inlineStr">
        <is>
          <t>"IT/테크"</t>
        </is>
      </c>
      <c r="K53" s="6" t="inlineStr"/>
      <c r="L53" s="6" t="inlineStr"/>
    </row>
    <row r="54">
      <c r="A54" s="26" t="inlineStr">
        <is>
          <t>소스별</t>
        </is>
      </c>
      <c r="B54" s="24" t="inlineStr">
        <is>
          <t>뉴스</t>
        </is>
      </c>
      <c r="C54" s="28" t="inlineStr">
        <is>
          <t>cluster_id</t>
        </is>
      </c>
      <c r="D54" s="5" t="inlineStr">
        <is>
          <t>사건 묶음 ID</t>
        </is>
      </c>
      <c r="E54" s="5" t="inlineStr">
        <is>
          <t>string</t>
        </is>
      </c>
      <c r="F54" s="24" t="inlineStr">
        <is>
          <t>권장</t>
        </is>
      </c>
      <c r="G54" s="33" t="inlineStr">
        <is>
          <t>META_EXTRA</t>
        </is>
      </c>
      <c r="H54" s="5" t="inlineStr">
        <is>
          <t>근사 중복(MinHash) 묶음 대표</t>
        </is>
      </c>
      <c r="I54" s="5" t="inlineStr">
        <is>
          <t>S01 재송고 · S18 센싱</t>
        </is>
      </c>
      <c r="J54" s="30" t="inlineStr">
        <is>
          <t>"EVT_20260915_HBM_MU"</t>
        </is>
      </c>
      <c r="K54" s="6" t="inlineStr"/>
      <c r="L54" s="6" t="inlineStr"/>
    </row>
    <row r="55">
      <c r="A55" s="26" t="inlineStr">
        <is>
          <t>소스별</t>
        </is>
      </c>
      <c r="B55" s="24" t="inlineStr">
        <is>
          <t>뉴스</t>
        </is>
      </c>
      <c r="C55" s="28" t="inlineStr">
        <is>
          <t>is_primary</t>
        </is>
      </c>
      <c r="D55" s="5" t="inlineStr">
        <is>
          <t>대표 기사</t>
        </is>
      </c>
      <c r="E55" s="5" t="inlineStr">
        <is>
          <t>string(Y/N)</t>
        </is>
      </c>
      <c r="F55" s="24" t="inlineStr">
        <is>
          <t>권장</t>
        </is>
      </c>
      <c r="G55" s="33" t="inlineStr">
        <is>
          <t>META_EXTRA</t>
        </is>
      </c>
      <c r="H55" s="5" t="inlineStr">
        <is>
          <t>묶음 중 가장 이른 기사</t>
        </is>
      </c>
      <c r="I55" s="5" t="inlineStr">
        <is>
          <t>중복 접기</t>
        </is>
      </c>
      <c r="J55" s="30" t="inlineStr">
        <is>
          <t>"Y"</t>
        </is>
      </c>
      <c r="K55" s="6" t="inlineStr"/>
      <c r="L55" s="6" t="inlineStr"/>
    </row>
    <row r="56">
      <c r="A56" s="26" t="inlineStr">
        <is>
          <t>소스별</t>
        </is>
      </c>
      <c r="B56" s="24" t="inlineStr">
        <is>
          <t>뉴스</t>
        </is>
      </c>
      <c r="C56" s="28" t="inlineStr">
        <is>
          <t>press_type</t>
        </is>
      </c>
      <c r="D56" s="5" t="inlineStr">
        <is>
          <t>매체 유형</t>
        </is>
      </c>
      <c r="E56" s="5" t="inlineStr">
        <is>
          <t>string</t>
        </is>
      </c>
      <c r="F56" s="24" t="inlineStr">
        <is>
          <t>선택</t>
        </is>
      </c>
      <c r="G56" s="33" t="inlineStr">
        <is>
          <t>META_EXTRA</t>
        </is>
      </c>
      <c r="H56" s="5" t="inlineStr">
        <is>
          <t>종합지 · 산업지 · 통신사</t>
        </is>
      </c>
      <c r="I56" s="5" t="inlineStr">
        <is>
          <t>가중치</t>
        </is>
      </c>
      <c r="J56" s="30" t="inlineStr">
        <is>
          <t>"종합지"</t>
        </is>
      </c>
      <c r="K56" s="6" t="inlineStr"/>
      <c r="L56" s="6" t="inlineStr"/>
    </row>
    <row r="57">
      <c r="A57" s="26" t="inlineStr">
        <is>
          <t>소스별</t>
        </is>
      </c>
      <c r="B57" s="24" t="inlineStr">
        <is>
          <t>뉴스</t>
        </is>
      </c>
      <c r="C57" s="28" t="inlineStr">
        <is>
          <t>company / product / topic</t>
        </is>
      </c>
      <c r="D57" s="5" t="inlineStr">
        <is>
          <t>엔티티 태그</t>
        </is>
      </c>
      <c r="E57" s="5" t="inlineStr">
        <is>
          <t>array</t>
        </is>
      </c>
      <c r="F57" s="24" t="inlineStr">
        <is>
          <t>권장</t>
        </is>
      </c>
      <c r="G57" s="34" t="inlineStr">
        <is>
          <t>TAGS</t>
        </is>
      </c>
      <c r="H57" s="5" t="inlineStr">
        <is>
          <t>사내 LLM 추출 + 코드 사전</t>
        </is>
      </c>
      <c r="I57" s="5" t="inlineStr">
        <is>
          <t>S19 센싱 · S24 라우팅</t>
        </is>
      </c>
      <c r="J57" s="30" t="inlineStr">
        <is>
          <t>["마이크론"] / ["HBM"]</t>
        </is>
      </c>
      <c r="K57" s="6" t="inlineStr"/>
      <c r="L57" s="6" t="inlineStr"/>
    </row>
    <row r="58">
      <c r="A58" s="26" t="inlineStr">
        <is>
          <t>소스별</t>
        </is>
      </c>
      <c r="B58" s="24" t="inlineStr">
        <is>
          <t>증권사 리포트</t>
        </is>
      </c>
      <c r="C58" s="28" t="inlineStr">
        <is>
          <t>ORG_NAME ← firm_name</t>
        </is>
      </c>
      <c r="D58" s="5" t="inlineStr">
        <is>
          <t>증권사</t>
        </is>
      </c>
      <c r="E58" s="5" t="inlineStr">
        <is>
          <t>VARCHAR2(200 CHAR)</t>
        </is>
      </c>
      <c r="F58" s="24" t="inlineStr">
        <is>
          <t>필수</t>
        </is>
      </c>
      <c r="G58" s="29" t="inlineStr">
        <is>
          <t>공통 컬럼</t>
        </is>
      </c>
      <c r="H58" s="5" t="inlineStr">
        <is>
          <t>리포트 표지 → 공통 컬럼</t>
        </is>
      </c>
      <c r="I58" s="5" t="inlineStr">
        <is>
          <t>필터 · 인용</t>
        </is>
      </c>
      <c r="J58" s="30" t="inlineStr">
        <is>
          <t>○○증권</t>
        </is>
      </c>
      <c r="K58" s="6" t="inlineStr"/>
      <c r="L58" s="6" t="inlineStr"/>
    </row>
    <row r="59">
      <c r="A59" s="26" t="inlineStr">
        <is>
          <t>소스별</t>
        </is>
      </c>
      <c r="B59" s="24" t="inlineStr">
        <is>
          <t>증권사 리포트</t>
        </is>
      </c>
      <c r="C59" s="28" t="inlineStr">
        <is>
          <t>AUTHOR ← analyst</t>
        </is>
      </c>
      <c r="D59" s="5" t="inlineStr">
        <is>
          <t>애널리스트</t>
        </is>
      </c>
      <c r="E59" s="5" t="inlineStr">
        <is>
          <t>VARCHAR2(200 CHAR)</t>
        </is>
      </c>
      <c r="F59" s="24" t="inlineStr">
        <is>
          <t>권장</t>
        </is>
      </c>
      <c r="G59" s="29" t="inlineStr">
        <is>
          <t>공통 컬럼</t>
        </is>
      </c>
      <c r="H59" s="5" t="inlineStr">
        <is>
          <t>표지 · 말미 → 공통 컬럼</t>
        </is>
      </c>
      <c r="I59" s="5" t="inlineStr">
        <is>
          <t>인용</t>
        </is>
      </c>
      <c r="J59" s="30" t="inlineStr">
        <is>
          <t>이분석</t>
        </is>
      </c>
      <c r="K59" s="6" t="inlineStr"/>
      <c r="L59" s="6" t="inlineStr"/>
    </row>
    <row r="60">
      <c r="A60" s="26" t="inlineStr">
        <is>
          <t>소스별</t>
        </is>
      </c>
      <c r="B60" s="24" t="inlineStr">
        <is>
          <t>증권사 리포트</t>
        </is>
      </c>
      <c r="C60" s="28" t="inlineStr">
        <is>
          <t>period_covered</t>
        </is>
      </c>
      <c r="D60" s="5" t="inlineStr">
        <is>
          <t>대상 기간</t>
        </is>
      </c>
      <c r="E60" s="5" t="inlineStr">
        <is>
          <t>string</t>
        </is>
      </c>
      <c r="F60" s="24" t="inlineStr">
        <is>
          <t>권장</t>
        </is>
      </c>
      <c r="G60" s="33" t="inlineStr">
        <is>
          <t>META_EXTRA</t>
        </is>
      </c>
      <c r="H60" s="5" t="inlineStr">
        <is>
          <t>제목 · 본문</t>
        </is>
      </c>
      <c r="I60" s="5" t="inlineStr">
        <is>
          <t>S08 기간 필터 보조</t>
        </is>
      </c>
      <c r="J60" s="30" t="inlineStr">
        <is>
          <t>"3Q26"</t>
        </is>
      </c>
      <c r="K60" s="6" t="inlineStr"/>
      <c r="L60" s="6" t="inlineStr"/>
    </row>
    <row r="61">
      <c r="A61" s="26" t="inlineStr">
        <is>
          <t>소스별</t>
        </is>
      </c>
      <c r="B61" s="24" t="inlineStr">
        <is>
          <t>증권사 리포트</t>
        </is>
      </c>
      <c r="C61" s="28" t="inlineStr">
        <is>
          <t>report_type</t>
        </is>
      </c>
      <c r="D61" s="5" t="inlineStr">
        <is>
          <t>리포트 종류</t>
        </is>
      </c>
      <c r="E61" s="5" t="inlineStr">
        <is>
          <t>string</t>
        </is>
      </c>
      <c r="F61" s="24" t="inlineStr">
        <is>
          <t>권장</t>
        </is>
      </c>
      <c r="G61" s="33" t="inlineStr">
        <is>
          <t>META_EXTRA</t>
        </is>
      </c>
      <c r="H61" s="5" t="inlineStr">
        <is>
          <t>산업 · 기업 · 프리뷰 · 리뷰</t>
        </is>
      </c>
      <c r="I61" s="5" t="inlineStr">
        <is>
          <t>표시 · 필터</t>
        </is>
      </c>
      <c r="J61" s="30" t="inlineStr">
        <is>
          <t>"산업"</t>
        </is>
      </c>
      <c r="K61" s="6" t="inlineStr"/>
      <c r="L61" s="6" t="inlineStr"/>
    </row>
    <row r="62">
      <c r="A62" s="26" t="inlineStr">
        <is>
          <t>소스별</t>
        </is>
      </c>
      <c r="B62" s="24" t="inlineStr">
        <is>
          <t>증권사 리포트</t>
        </is>
      </c>
      <c r="C62" s="28" t="inlineStr">
        <is>
          <t>target_stock</t>
        </is>
      </c>
      <c r="D62" s="5" t="inlineStr">
        <is>
          <t>대상 종목 · 산업</t>
        </is>
      </c>
      <c r="E62" s="5" t="inlineStr">
        <is>
          <t>string</t>
        </is>
      </c>
      <c r="F62" s="24" t="inlineStr">
        <is>
          <t>권장</t>
        </is>
      </c>
      <c r="G62" s="33" t="inlineStr">
        <is>
          <t>META_EXTRA</t>
        </is>
      </c>
      <c r="H62" s="5" t="inlineStr">
        <is>
          <t>표지</t>
        </is>
      </c>
      <c r="I62" s="5" t="inlineStr">
        <is>
          <t>표시 · 센싱</t>
        </is>
      </c>
      <c r="J62" s="30" t="inlineStr">
        <is>
          <t>"메모리 반도체"</t>
        </is>
      </c>
      <c r="K62" s="6" t="inlineStr"/>
      <c r="L62" s="6" t="inlineStr"/>
    </row>
    <row r="63">
      <c r="A63" s="26" t="inlineStr">
        <is>
          <t>소스별</t>
        </is>
      </c>
      <c r="B63" s="24" t="inlineStr">
        <is>
          <t>증권사 리포트</t>
        </is>
      </c>
      <c r="C63" s="28" t="inlineStr">
        <is>
          <t>opinion</t>
        </is>
      </c>
      <c r="D63" s="5" t="inlineStr">
        <is>
          <t>투자의견</t>
        </is>
      </c>
      <c r="E63" s="5" t="inlineStr">
        <is>
          <t>string</t>
        </is>
      </c>
      <c r="F63" s="24" t="inlineStr">
        <is>
          <t>선택</t>
        </is>
      </c>
      <c r="G63" s="33" t="inlineStr">
        <is>
          <t>META_EXTRA</t>
        </is>
      </c>
      <c r="H63" s="5" t="inlineStr">
        <is>
          <t>표지</t>
        </is>
      </c>
      <c r="I63" s="5" t="inlineStr">
        <is>
          <t>센싱(논조)</t>
        </is>
      </c>
      <c r="J63" s="30" t="inlineStr">
        <is>
          <t>"BUY"</t>
        </is>
      </c>
      <c r="K63" s="6" t="inlineStr"/>
      <c r="L63" s="6" t="inlineStr"/>
    </row>
    <row r="64">
      <c r="A64" s="26" t="inlineStr">
        <is>
          <t>소스별</t>
        </is>
      </c>
      <c r="B64" s="24" t="inlineStr">
        <is>
          <t>증권사 리포트</t>
        </is>
      </c>
      <c r="C64" s="28" t="inlineStr">
        <is>
          <t>target_price</t>
        </is>
      </c>
      <c r="D64" s="5" t="inlineStr">
        <is>
          <t>목표가</t>
        </is>
      </c>
      <c r="E64" s="5" t="inlineStr">
        <is>
          <t>number</t>
        </is>
      </c>
      <c r="F64" s="24" t="inlineStr">
        <is>
          <t>선택</t>
        </is>
      </c>
      <c r="G64" s="33" t="inlineStr">
        <is>
          <t>META_EXTRA</t>
        </is>
      </c>
      <c r="H64" s="5" t="inlineStr">
        <is>
          <t>표지</t>
        </is>
      </c>
      <c r="I64" s="5" t="inlineStr">
        <is>
          <t>센싱</t>
        </is>
      </c>
      <c r="J64" s="30" t="inlineStr">
        <is>
          <t>260000</t>
        </is>
      </c>
      <c r="K64" s="6" t="inlineStr"/>
      <c r="L64" s="6" t="inlineStr"/>
    </row>
    <row r="65">
      <c r="A65" s="26" t="inlineStr">
        <is>
          <t>소스별</t>
        </is>
      </c>
      <c r="B65" s="24" t="inlineStr">
        <is>
          <t>증권사 리포트</t>
        </is>
      </c>
      <c r="C65" s="28" t="inlineStr">
        <is>
          <t>has_table</t>
        </is>
      </c>
      <c r="D65" s="5" t="inlineStr">
        <is>
          <t>표 포함</t>
        </is>
      </c>
      <c r="E65" s="5" t="inlineStr">
        <is>
          <t>string(Y/N)</t>
        </is>
      </c>
      <c r="F65" s="24" t="inlineStr">
        <is>
          <t>권장</t>
        </is>
      </c>
      <c r="G65" s="33" t="inlineStr">
        <is>
          <t>META_EXTRA</t>
        </is>
      </c>
      <c r="H65" s="5" t="inlineStr">
        <is>
          <t>파싱 결과</t>
        </is>
      </c>
      <c r="I65" s="5" t="inlineStr">
        <is>
          <t>S03 표 청크 분리</t>
        </is>
      </c>
      <c r="J65" s="30" t="inlineStr">
        <is>
          <t>"Y"</t>
        </is>
      </c>
      <c r="K65" s="6" t="inlineStr"/>
      <c r="L65" s="6" t="inlineStr"/>
    </row>
    <row r="66">
      <c r="A66" s="26" t="inlineStr">
        <is>
          <t>소스별</t>
        </is>
      </c>
      <c r="B66" s="24" t="inlineStr">
        <is>
          <t>증권사 리포트</t>
        </is>
      </c>
      <c r="C66" s="28" t="inlineStr">
        <is>
          <t>company / product</t>
        </is>
      </c>
      <c r="D66" s="5" t="inlineStr">
        <is>
          <t>엔티티 태그</t>
        </is>
      </c>
      <c r="E66" s="5" t="inlineStr">
        <is>
          <t>array</t>
        </is>
      </c>
      <c r="F66" s="24" t="inlineStr">
        <is>
          <t>권장</t>
        </is>
      </c>
      <c r="G66" s="34" t="inlineStr">
        <is>
          <t>TAGS</t>
        </is>
      </c>
      <c r="H66" s="5" t="inlineStr">
        <is>
          <t>LLM 추출</t>
        </is>
      </c>
      <c r="I66" s="5" t="inlineStr">
        <is>
          <t>센싱 · 라우팅</t>
        </is>
      </c>
      <c r="J66" s="30" t="inlineStr">
        <is>
          <t>["SK하이닉스","삼성전자"]</t>
        </is>
      </c>
      <c r="K66" s="6" t="inlineStr"/>
      <c r="L66" s="6" t="inlineStr"/>
    </row>
    <row r="67">
      <c r="A67" s="26" t="inlineStr">
        <is>
          <t>소스별</t>
        </is>
      </c>
      <c r="B67" s="24" t="inlineStr">
        <is>
          <t>기관 보고서</t>
        </is>
      </c>
      <c r="C67" s="28" t="inlineStr">
        <is>
          <t>ORG_NAME ← institution_name</t>
        </is>
      </c>
      <c r="D67" s="5" t="inlineStr">
        <is>
          <t>기관명</t>
        </is>
      </c>
      <c r="E67" s="5" t="inlineStr">
        <is>
          <t>VARCHAR2(200 CHAR)</t>
        </is>
      </c>
      <c r="F67" s="24" t="inlineStr">
        <is>
          <t>필수</t>
        </is>
      </c>
      <c r="G67" s="29" t="inlineStr">
        <is>
          <t>공통 컬럼</t>
        </is>
      </c>
      <c r="H67" s="5" t="inlineStr">
        <is>
          <t>표지 → 공통 컬럼</t>
        </is>
      </c>
      <c r="I67" s="5" t="inlineStr">
        <is>
          <t>필터 · 인용</t>
        </is>
      </c>
      <c r="J67" s="30" t="inlineStr">
        <is>
          <t>○○리서치</t>
        </is>
      </c>
      <c r="K67" s="6" t="inlineStr"/>
      <c r="L67" s="6" t="inlineStr"/>
    </row>
    <row r="68">
      <c r="A68" s="26" t="inlineStr">
        <is>
          <t>소스별</t>
        </is>
      </c>
      <c r="B68" s="24" t="inlineStr">
        <is>
          <t>기관 보고서</t>
        </is>
      </c>
      <c r="C68" s="28" t="inlineStr">
        <is>
          <t>data_asof</t>
        </is>
      </c>
      <c r="D68" s="5" t="inlineStr">
        <is>
          <t>데이터 기준 시점</t>
        </is>
      </c>
      <c r="E68" s="5" t="inlineStr">
        <is>
          <t>string</t>
        </is>
      </c>
      <c r="F68" s="24" t="inlineStr">
        <is>
          <t>필수</t>
        </is>
      </c>
      <c r="G68" s="33" t="inlineStr">
        <is>
          <t>META_EXTRA</t>
        </is>
      </c>
      <c r="H68" s="5" t="inlineStr">
        <is>
          <t>본문 "as of" · 표 머리말</t>
        </is>
      </c>
      <c r="I68" s="5" t="inlineStr">
        <is>
          <t>S08 기간 · S27 정합성</t>
        </is>
      </c>
      <c r="J68" s="30" t="inlineStr">
        <is>
          <t>"2Q26"</t>
        </is>
      </c>
      <c r="K68" s="6" t="inlineStr"/>
      <c r="L68" s="6" t="inlineStr"/>
    </row>
    <row r="69">
      <c r="A69" s="26" t="inlineStr">
        <is>
          <t>소스별</t>
        </is>
      </c>
      <c r="B69" s="24" t="inlineStr">
        <is>
          <t>기관 보고서</t>
        </is>
      </c>
      <c r="C69" s="28" t="inlineStr">
        <is>
          <t>research_type</t>
        </is>
      </c>
      <c r="D69" s="5" t="inlineStr">
        <is>
          <t>자료 유형</t>
        </is>
      </c>
      <c r="E69" s="5" t="inlineStr">
        <is>
          <t>string</t>
        </is>
      </c>
      <c r="F69" s="24" t="inlineStr">
        <is>
          <t>권장</t>
        </is>
      </c>
      <c r="G69" s="33" t="inlineStr">
        <is>
          <t>META_EXTRA</t>
        </is>
      </c>
      <c r="H69" s="5" t="inlineStr">
        <is>
          <t>시장전망 · 통계 · 백서</t>
        </is>
      </c>
      <c r="I69" s="5" t="inlineStr">
        <is>
          <t>표시 · 필터</t>
        </is>
      </c>
      <c r="J69" s="30" t="inlineStr">
        <is>
          <t>"시장전망"</t>
        </is>
      </c>
      <c r="K69" s="6" t="inlineStr"/>
      <c r="L69" s="6" t="inlineStr"/>
    </row>
    <row r="70">
      <c r="A70" s="26" t="inlineStr">
        <is>
          <t>소스별</t>
        </is>
      </c>
      <c r="B70" s="24" t="inlineStr">
        <is>
          <t>기관 보고서</t>
        </is>
      </c>
      <c r="C70" s="28" t="inlineStr">
        <is>
          <t>license_scope</t>
        </is>
      </c>
      <c r="D70" s="5" t="inlineStr">
        <is>
          <t>라이선스 범위</t>
        </is>
      </c>
      <c r="E70" s="5" t="inlineStr">
        <is>
          <t>string</t>
        </is>
      </c>
      <c r="F70" s="24" t="inlineStr">
        <is>
          <t>권장</t>
        </is>
      </c>
      <c r="G70" s="33" t="inlineStr">
        <is>
          <t>META_EXTRA</t>
        </is>
      </c>
      <c r="H70" s="5" t="inlineStr">
        <is>
          <t>계약 정보</t>
        </is>
      </c>
      <c r="I70" s="5" t="inlineStr">
        <is>
          <t>S28 권한 판단 근거</t>
        </is>
      </c>
      <c r="J70" s="30" t="inlineStr">
        <is>
          <t>"사내 열람"</t>
        </is>
      </c>
      <c r="K70" s="6" t="inlineStr"/>
      <c r="L70" s="6" t="inlineStr"/>
    </row>
    <row r="71">
      <c r="A71" s="26" t="inlineStr">
        <is>
          <t>소스별</t>
        </is>
      </c>
      <c r="B71" s="24" t="inlineStr">
        <is>
          <t>기관 보고서</t>
        </is>
      </c>
      <c r="C71" s="28" t="inlineStr">
        <is>
          <t>region_scope</t>
        </is>
      </c>
      <c r="D71" s="5" t="inlineStr">
        <is>
          <t>지역 범위</t>
        </is>
      </c>
      <c r="E71" s="5" t="inlineStr">
        <is>
          <t>string</t>
        </is>
      </c>
      <c r="F71" s="24" t="inlineStr">
        <is>
          <t>선택</t>
        </is>
      </c>
      <c r="G71" s="33" t="inlineStr">
        <is>
          <t>META_EXTRA</t>
        </is>
      </c>
      <c r="H71" s="5" t="inlineStr">
        <is>
          <t>표지 · 목차</t>
        </is>
      </c>
      <c r="I71" s="5" t="inlineStr">
        <is>
          <t>표시</t>
        </is>
      </c>
      <c r="J71" s="30" t="inlineStr">
        <is>
          <t>"Global"</t>
        </is>
      </c>
      <c r="K71" s="6" t="inlineStr"/>
      <c r="L71" s="6" t="inlineStr"/>
    </row>
    <row r="72">
      <c r="A72" s="26" t="inlineStr">
        <is>
          <t>소스별</t>
        </is>
      </c>
      <c r="B72" s="24" t="inlineStr">
        <is>
          <t>기관 보고서</t>
        </is>
      </c>
      <c r="C72" s="28" t="inlineStr">
        <is>
          <t>keywords</t>
        </is>
      </c>
      <c r="D72" s="5" t="inlineStr">
        <is>
          <t>키워드</t>
        </is>
      </c>
      <c r="E72" s="5" t="inlineStr">
        <is>
          <t>array</t>
        </is>
      </c>
      <c r="F72" s="24" t="inlineStr">
        <is>
          <t>선택</t>
        </is>
      </c>
      <c r="G72" s="33" t="inlineStr">
        <is>
          <t>META_EXTRA</t>
        </is>
      </c>
      <c r="H72" s="5" t="inlineStr">
        <is>
          <t>표지 · 목차</t>
        </is>
      </c>
      <c r="I72" s="5" t="inlineStr">
        <is>
          <t>센싱 보조</t>
        </is>
      </c>
      <c r="J72" s="30" t="inlineStr">
        <is>
          <t>["HBM","CapEx"]</t>
        </is>
      </c>
      <c r="K72" s="6" t="inlineStr"/>
      <c r="L72" s="6" t="inlineStr"/>
    </row>
    <row r="73">
      <c r="A73" s="26" t="inlineStr">
        <is>
          <t>소스별</t>
        </is>
      </c>
      <c r="B73" s="24" t="inlineStr">
        <is>
          <t>메일</t>
        </is>
      </c>
      <c r="C73" s="28" t="inlineStr">
        <is>
          <t>SRC_KEY ← message_id</t>
        </is>
      </c>
      <c r="D73" s="5" t="inlineStr">
        <is>
          <t>Message-ID</t>
        </is>
      </c>
      <c r="E73" s="5" t="inlineStr">
        <is>
          <t>VARCHAR2(200)</t>
        </is>
      </c>
      <c r="F73" s="24" t="inlineStr">
        <is>
          <t>필수</t>
        </is>
      </c>
      <c r="G73" s="29" t="inlineStr">
        <is>
          <t>공통 컬럼</t>
        </is>
      </c>
      <c r="H73" s="5" t="inlineStr">
        <is>
          <t>메일 헤더 → 원천 키</t>
        </is>
      </c>
      <c r="I73" s="5" t="inlineStr">
        <is>
          <t>중복 · 갱신</t>
        </is>
      </c>
      <c r="J73" s="30" t="inlineStr">
        <is>
          <t>&lt;a1b2@mail&gt;</t>
        </is>
      </c>
      <c r="K73" s="6" t="inlineStr"/>
      <c r="L73" s="6" t="inlineStr"/>
    </row>
    <row r="74">
      <c r="A74" s="26" t="inlineStr">
        <is>
          <t>소스별</t>
        </is>
      </c>
      <c r="B74" s="24" t="inlineStr">
        <is>
          <t>메일</t>
        </is>
      </c>
      <c r="C74" s="28" t="inlineStr">
        <is>
          <t>ORG_NAME ← sender_dept</t>
        </is>
      </c>
      <c r="D74" s="5" t="inlineStr">
        <is>
          <t>발신 부서</t>
        </is>
      </c>
      <c r="E74" s="5" t="inlineStr">
        <is>
          <t>VARCHAR2(200 CHAR)</t>
        </is>
      </c>
      <c r="F74" s="24" t="inlineStr">
        <is>
          <t>권장</t>
        </is>
      </c>
      <c r="G74" s="29" t="inlineStr">
        <is>
          <t>공통 컬럼</t>
        </is>
      </c>
      <c r="H74" s="5" t="inlineStr">
        <is>
          <t>조직도 매핑 → 공통 컬럼</t>
        </is>
      </c>
      <c r="I74" s="5" t="inlineStr">
        <is>
          <t>필터 · 표시</t>
        </is>
      </c>
      <c r="J74" s="30" t="inlineStr">
        <is>
          <t>영업전략팀</t>
        </is>
      </c>
      <c r="K74" s="6" t="inlineStr"/>
      <c r="L74" s="6" t="inlineStr"/>
    </row>
    <row r="75">
      <c r="A75" s="26" t="inlineStr">
        <is>
          <t>소스별</t>
        </is>
      </c>
      <c r="B75" s="24" t="inlineStr">
        <is>
          <t>메일</t>
        </is>
      </c>
      <c r="C75" s="28" t="inlineStr">
        <is>
          <t>thread_id</t>
        </is>
      </c>
      <c r="D75" s="5" t="inlineStr">
        <is>
          <t>스레드 ID</t>
        </is>
      </c>
      <c r="E75" s="5" t="inlineStr">
        <is>
          <t>string</t>
        </is>
      </c>
      <c r="F75" s="24" t="inlineStr">
        <is>
          <t>필수</t>
        </is>
      </c>
      <c r="G75" s="33" t="inlineStr">
        <is>
          <t>META_EXTRA</t>
        </is>
      </c>
      <c r="H75" s="5" t="inlineStr">
        <is>
          <t>In-Reply-To 추적</t>
        </is>
      </c>
      <c r="I75" s="5" t="inlineStr">
        <is>
          <t>S03 스레드 청킹</t>
        </is>
      </c>
      <c r="J75" s="30" t="inlineStr">
        <is>
          <t>"TH_9901"</t>
        </is>
      </c>
      <c r="K75" s="6" t="inlineStr"/>
      <c r="L75" s="6" t="inlineStr"/>
    </row>
    <row r="76">
      <c r="A76" s="26" t="inlineStr">
        <is>
          <t>소스별</t>
        </is>
      </c>
      <c r="B76" s="24" t="inlineStr">
        <is>
          <t>메일</t>
        </is>
      </c>
      <c r="C76" s="28" t="inlineStr">
        <is>
          <t>has_attachment</t>
        </is>
      </c>
      <c r="D76" s="5" t="inlineStr">
        <is>
          <t>첨부 유무</t>
        </is>
      </c>
      <c r="E76" s="5" t="inlineStr">
        <is>
          <t>string(Y/N)</t>
        </is>
      </c>
      <c r="F76" s="24" t="inlineStr">
        <is>
          <t>필수</t>
        </is>
      </c>
      <c r="G76" s="33" t="inlineStr">
        <is>
          <t>META_EXTRA</t>
        </is>
      </c>
      <c r="H76" s="5" t="inlineStr">
        <is>
          <t>메일 파싱</t>
        </is>
      </c>
      <c r="I76" s="5" t="inlineStr">
        <is>
          <t>첨부 분리 처리</t>
        </is>
      </c>
      <c r="J76" s="30" t="inlineStr">
        <is>
          <t>"Y"</t>
        </is>
      </c>
      <c r="K76" s="6" t="inlineStr"/>
      <c r="L76" s="6" t="inlineStr"/>
    </row>
    <row r="77">
      <c r="A77" s="26" t="inlineStr">
        <is>
          <t>소스별</t>
        </is>
      </c>
      <c r="B77" s="24" t="inlineStr">
        <is>
          <t>메일</t>
        </is>
      </c>
      <c r="C77" s="28" t="inlineStr">
        <is>
          <t>attach_doc_ids</t>
        </is>
      </c>
      <c r="D77" s="5" t="inlineStr">
        <is>
          <t>첨부 문서 ID</t>
        </is>
      </c>
      <c r="E77" s="5" t="inlineStr">
        <is>
          <t>array</t>
        </is>
      </c>
      <c r="F77" s="24" t="inlineStr">
        <is>
          <t>권장</t>
        </is>
      </c>
      <c r="G77" s="33" t="inlineStr">
        <is>
          <t>META_EXTRA</t>
        </is>
      </c>
      <c r="H77" s="5" t="inlineStr">
        <is>
          <t>첨부를 별도 문서로 적재</t>
        </is>
      </c>
      <c r="I77" s="5" t="inlineStr">
        <is>
          <t>처리흐름(첨부 분기)</t>
        </is>
      </c>
      <c r="J77" s="30" t="inlineStr">
        <is>
          <t>["RPT_20260910_0007"]</t>
        </is>
      </c>
      <c r="K77" s="6" t="inlineStr"/>
      <c r="L77" s="6" t="inlineStr"/>
    </row>
    <row r="78">
      <c r="A78" s="26" t="inlineStr">
        <is>
          <t>소스별</t>
        </is>
      </c>
      <c r="B78" s="24" t="inlineStr">
        <is>
          <t>메일</t>
        </is>
      </c>
      <c r="C78" s="28" t="inlineStr">
        <is>
          <t>quote_removed</t>
        </is>
      </c>
      <c r="D78" s="5" t="inlineStr">
        <is>
          <t>인용 제거 여부</t>
        </is>
      </c>
      <c r="E78" s="5" t="inlineStr">
        <is>
          <t>string(Y/N)</t>
        </is>
      </c>
      <c r="F78" s="24" t="inlineStr">
        <is>
          <t>권장</t>
        </is>
      </c>
      <c r="G78" s="33" t="inlineStr">
        <is>
          <t>META_EXTRA</t>
        </is>
      </c>
      <c r="H78" s="5" t="inlineStr">
        <is>
          <t>정제 단계 기록</t>
        </is>
      </c>
      <c r="I78" s="5" t="inlineStr">
        <is>
          <t>S02 품질 점검</t>
        </is>
      </c>
      <c r="J78" s="30" t="inlineStr">
        <is>
          <t>"Y"</t>
        </is>
      </c>
      <c r="K78" s="6" t="inlineStr"/>
      <c r="L78" s="6" t="inlineStr"/>
    </row>
    <row r="79">
      <c r="A79" s="26" t="inlineStr">
        <is>
          <t>소스별</t>
        </is>
      </c>
      <c r="B79" s="24" t="inlineStr">
        <is>
          <t>메일</t>
        </is>
      </c>
      <c r="C79" s="28" t="inlineStr">
        <is>
          <t>sender / recipients</t>
        </is>
      </c>
      <c r="D79" s="5" t="inlineStr">
        <is>
          <t>발신자 · 수신자</t>
        </is>
      </c>
      <c r="E79" s="5" t="inlineStr">
        <is>
          <t>ACL 행</t>
        </is>
      </c>
      <c r="F79" s="24" t="inlineStr">
        <is>
          <t>필수</t>
        </is>
      </c>
      <c r="G79" s="35" t="inlineStr">
        <is>
          <t>ACL 행</t>
        </is>
      </c>
      <c r="H79" s="5" t="inlineStr">
        <is>
          <t>메일 헤더 To · Cc</t>
        </is>
      </c>
      <c r="I79" s="5" t="inlineStr">
        <is>
          <t>S28 권한 필터</t>
        </is>
      </c>
      <c r="J79" s="30" t="inlineStr">
        <is>
          <t>USER lee@… / USER pm@…</t>
        </is>
      </c>
      <c r="K79" s="6" t="inlineStr"/>
      <c r="L79" s="6" t="inlineStr"/>
    </row>
    <row r="80">
      <c r="A80" s="26" t="inlineStr">
        <is>
          <t>소스별</t>
        </is>
      </c>
      <c r="B80" s="24" t="inlineStr">
        <is>
          <t>회의록</t>
        </is>
      </c>
      <c r="C80" s="28" t="inlineStr">
        <is>
          <t>PUBLISHED_AT ← meeting_date</t>
        </is>
      </c>
      <c r="D80" s="5" t="inlineStr">
        <is>
          <t>회의일</t>
        </is>
      </c>
      <c r="E80" s="5" t="inlineStr">
        <is>
          <t>DATE</t>
        </is>
      </c>
      <c r="F80" s="24" t="inlineStr">
        <is>
          <t>필수</t>
        </is>
      </c>
      <c r="G80" s="29" t="inlineStr">
        <is>
          <t>공통 컬럼</t>
        </is>
      </c>
      <c r="H80" s="5" t="inlineStr">
        <is>
          <t>양식 → 공통 컬럼</t>
        </is>
      </c>
      <c r="I80" s="5" t="inlineStr">
        <is>
          <t>기간 필터</t>
        </is>
      </c>
      <c r="J80" s="30" t="inlineStr">
        <is>
          <t>2026-09-17</t>
        </is>
      </c>
      <c r="K80" s="6" t="inlineStr"/>
      <c r="L80" s="6" t="inlineStr"/>
    </row>
    <row r="81">
      <c r="A81" s="26" t="inlineStr">
        <is>
          <t>소스별</t>
        </is>
      </c>
      <c r="B81" s="24" t="inlineStr">
        <is>
          <t>회의록</t>
        </is>
      </c>
      <c r="C81" s="28" t="inlineStr">
        <is>
          <t>ORG_NAME ← department</t>
        </is>
      </c>
      <c r="D81" s="5" t="inlineStr">
        <is>
          <t>주관 부서</t>
        </is>
      </c>
      <c r="E81" s="5" t="inlineStr">
        <is>
          <t>VARCHAR2(200 CHAR)</t>
        </is>
      </c>
      <c r="F81" s="24" t="inlineStr">
        <is>
          <t>필수</t>
        </is>
      </c>
      <c r="G81" s="29" t="inlineStr">
        <is>
          <t>공통 컬럼</t>
        </is>
      </c>
      <c r="H81" s="5" t="inlineStr">
        <is>
          <t>양식 → 공통 컬럼</t>
        </is>
      </c>
      <c r="I81" s="5" t="inlineStr">
        <is>
          <t>필터 · 권한</t>
        </is>
      </c>
      <c r="J81" s="30" t="inlineStr">
        <is>
          <t>시장분석팀</t>
        </is>
      </c>
      <c r="K81" s="6" t="inlineStr"/>
      <c r="L81" s="6" t="inlineStr"/>
    </row>
    <row r="82">
      <c r="A82" s="26" t="inlineStr">
        <is>
          <t>소스별</t>
        </is>
      </c>
      <c r="B82" s="24" t="inlineStr">
        <is>
          <t>회의록</t>
        </is>
      </c>
      <c r="C82" s="28" t="inlineStr">
        <is>
          <t>project_code</t>
        </is>
      </c>
      <c r="D82" s="5" t="inlineStr">
        <is>
          <t>과제 코드</t>
        </is>
      </c>
      <c r="E82" s="5" t="inlineStr">
        <is>
          <t>string</t>
        </is>
      </c>
      <c r="F82" s="24" t="inlineStr">
        <is>
          <t>권장</t>
        </is>
      </c>
      <c r="G82" s="33" t="inlineStr">
        <is>
          <t>META_EXTRA</t>
        </is>
      </c>
      <c r="H82" s="5" t="inlineStr">
        <is>
          <t>양식</t>
        </is>
      </c>
      <c r="I82" s="5" t="inlineStr">
        <is>
          <t>표시 · 권한 보조</t>
        </is>
      </c>
      <c r="J82" s="30" t="inlineStr">
        <is>
          <t>"PRJ-MIS-2026"</t>
        </is>
      </c>
      <c r="K82" s="6" t="inlineStr"/>
      <c r="L82" s="6" t="inlineStr"/>
    </row>
    <row r="83">
      <c r="A83" s="26" t="inlineStr">
        <is>
          <t>소스별</t>
        </is>
      </c>
      <c r="B83" s="24" t="inlineStr">
        <is>
          <t>회의록</t>
        </is>
      </c>
      <c r="C83" s="28" t="inlineStr">
        <is>
          <t>agenda_no</t>
        </is>
      </c>
      <c r="D83" s="5" t="inlineStr">
        <is>
          <t>안건 번호</t>
        </is>
      </c>
      <c r="E83" s="5" t="inlineStr">
        <is>
          <t>number</t>
        </is>
      </c>
      <c r="F83" s="24" t="inlineStr">
        <is>
          <t>권장</t>
        </is>
      </c>
      <c r="G83" s="33" t="inlineStr">
        <is>
          <t>META_EXTRA</t>
        </is>
      </c>
      <c r="H83" s="5" t="inlineStr">
        <is>
          <t>분할 시 부여</t>
        </is>
      </c>
      <c r="I83" s="5" t="inlineStr">
        <is>
          <t>S03 안건 단위 청킹</t>
        </is>
      </c>
      <c r="J83" s="30" t="inlineStr">
        <is>
          <t>2</t>
        </is>
      </c>
      <c r="K83" s="6" t="inlineStr"/>
      <c r="L83" s="6" t="inlineStr"/>
    </row>
    <row r="84">
      <c r="A84" s="26" t="inlineStr">
        <is>
          <t>소스별</t>
        </is>
      </c>
      <c r="B84" s="24" t="inlineStr">
        <is>
          <t>회의록</t>
        </is>
      </c>
      <c r="C84" s="28" t="inlineStr">
        <is>
          <t>decisions</t>
        </is>
      </c>
      <c r="D84" s="5" t="inlineStr">
        <is>
          <t>결정 사항</t>
        </is>
      </c>
      <c r="E84" s="5" t="inlineStr">
        <is>
          <t>array</t>
        </is>
      </c>
      <c r="F84" s="24" t="inlineStr">
        <is>
          <t>권장</t>
        </is>
      </c>
      <c r="G84" s="33" t="inlineStr">
        <is>
          <t>META_EXTRA</t>
        </is>
      </c>
      <c r="H84" s="5" t="inlineStr">
        <is>
          <t>본문 추출</t>
        </is>
      </c>
      <c r="I84" s="5" t="inlineStr">
        <is>
          <t>질문 응답(무엇을 정했나)</t>
        </is>
      </c>
      <c r="J84" s="30" t="inlineStr">
        <is>
          <t>["4Q 전망 유지"]</t>
        </is>
      </c>
      <c r="K84" s="6" t="inlineStr"/>
      <c r="L84" s="6" t="inlineStr"/>
    </row>
    <row r="85">
      <c r="A85" s="26" t="inlineStr">
        <is>
          <t>소스별</t>
        </is>
      </c>
      <c r="B85" s="24" t="inlineStr">
        <is>
          <t>회의록</t>
        </is>
      </c>
      <c r="C85" s="28" t="inlineStr">
        <is>
          <t>action_items</t>
        </is>
      </c>
      <c r="D85" s="5" t="inlineStr">
        <is>
          <t>액션 아이템</t>
        </is>
      </c>
      <c r="E85" s="5" t="inlineStr">
        <is>
          <t>array of object</t>
        </is>
      </c>
      <c r="F85" s="24" t="inlineStr">
        <is>
          <t>권장</t>
        </is>
      </c>
      <c r="G85" s="33" t="inlineStr">
        <is>
          <t>META_EXTRA</t>
        </is>
      </c>
      <c r="H85" s="5" t="inlineStr">
        <is>
          <t>본문 추출</t>
        </is>
      </c>
      <c r="I85" s="5" t="inlineStr">
        <is>
          <t>질문 응답 · 추적</t>
        </is>
      </c>
      <c r="J85" s="30" t="inlineStr">
        <is>
          <t>[{"task":"…","owner":"박기록","due":"2026-09-24"}]</t>
        </is>
      </c>
      <c r="K85" s="6" t="inlineStr"/>
      <c r="L85" s="6" t="inlineStr"/>
    </row>
    <row r="86">
      <c r="A86" s="26" t="inlineStr">
        <is>
          <t>소스별</t>
        </is>
      </c>
      <c r="B86" s="24" t="inlineStr">
        <is>
          <t>회의록</t>
        </is>
      </c>
      <c r="C86" s="28" t="inlineStr">
        <is>
          <t>attendees</t>
        </is>
      </c>
      <c r="D86" s="5" t="inlineStr">
        <is>
          <t>참석자</t>
        </is>
      </c>
      <c r="E86" s="5" t="inlineStr">
        <is>
          <t>ACL 행</t>
        </is>
      </c>
      <c r="F86" s="24" t="inlineStr">
        <is>
          <t>필수</t>
        </is>
      </c>
      <c r="G86" s="35" t="inlineStr">
        <is>
          <t>ACL 행</t>
        </is>
      </c>
      <c r="H86" s="5" t="inlineStr">
        <is>
          <t>양식</t>
        </is>
      </c>
      <c r="I86" s="5" t="inlineStr">
        <is>
          <t>S28 권한 필터</t>
        </is>
      </c>
      <c r="J86" s="30" t="inlineStr">
        <is>
          <t>USER 박기록 / GROUP 시장분석팀</t>
        </is>
      </c>
      <c r="K86" s="6" t="inlineStr"/>
      <c r="L86" s="6" t="inlineStr"/>
    </row>
    <row r="87">
      <c r="A87" s="26" t="inlineStr">
        <is>
          <t>소스별</t>
        </is>
      </c>
      <c r="B87" s="24" t="inlineStr">
        <is>
          <t>사내 보고서</t>
        </is>
      </c>
      <c r="C87" s="28" t="inlineStr">
        <is>
          <t>ORG_NAME ← department</t>
        </is>
      </c>
      <c r="D87" s="5" t="inlineStr">
        <is>
          <t>작성 부서</t>
        </is>
      </c>
      <c r="E87" s="5" t="inlineStr">
        <is>
          <t>VARCHAR2(200 CHAR)</t>
        </is>
      </c>
      <c r="F87" s="24" t="inlineStr">
        <is>
          <t>필수</t>
        </is>
      </c>
      <c r="G87" s="29" t="inlineStr">
        <is>
          <t>공통 컬럼</t>
        </is>
      </c>
      <c r="H87" s="5" t="inlineStr">
        <is>
          <t>문서 속성 · 결재 정보</t>
        </is>
      </c>
      <c r="I87" s="5" t="inlineStr">
        <is>
          <t>권한 · 필터</t>
        </is>
      </c>
      <c r="J87" s="30" t="inlineStr">
        <is>
          <t>시장분석팀</t>
        </is>
      </c>
      <c r="K87" s="6" t="inlineStr"/>
      <c r="L87" s="6" t="inlineStr"/>
    </row>
    <row r="88">
      <c r="A88" s="26" t="inlineStr">
        <is>
          <t>소스별</t>
        </is>
      </c>
      <c r="B88" s="24" t="inlineStr">
        <is>
          <t>사내 보고서</t>
        </is>
      </c>
      <c r="C88" s="28" t="inlineStr">
        <is>
          <t>SECURITY_LEVEL</t>
        </is>
      </c>
      <c r="D88" s="5" t="inlineStr">
        <is>
          <t>보안 등급</t>
        </is>
      </c>
      <c r="E88" s="5" t="inlineStr">
        <is>
          <t>NUMBER(1)</t>
        </is>
      </c>
      <c r="F88" s="24" t="inlineStr">
        <is>
          <t>필수</t>
        </is>
      </c>
      <c r="G88" s="29" t="inlineStr">
        <is>
          <t>공통 컬럼</t>
        </is>
      </c>
      <c r="H88" s="5" t="inlineStr">
        <is>
          <t>표지 표기 · 그룹웨어</t>
        </is>
      </c>
      <c r="I88" s="5" t="inlineStr">
        <is>
          <t>S10 · S28</t>
        </is>
      </c>
      <c r="J88" s="30" t="inlineStr">
        <is>
          <t>1</t>
        </is>
      </c>
      <c r="K88" s="6" t="inlineStr"/>
      <c r="L88" s="6" t="inlineStr"/>
    </row>
    <row r="89">
      <c r="A89" s="26" t="inlineStr">
        <is>
          <t>소스별</t>
        </is>
      </c>
      <c r="B89" s="24" t="inlineStr">
        <is>
          <t>사내 보고서</t>
        </is>
      </c>
      <c r="C89" s="28" t="inlineStr">
        <is>
          <t>version</t>
        </is>
      </c>
      <c r="D89" s="5" t="inlineStr">
        <is>
          <t>버전</t>
        </is>
      </c>
      <c r="E89" s="5" t="inlineStr">
        <is>
          <t>string</t>
        </is>
      </c>
      <c r="F89" s="24" t="inlineStr">
        <is>
          <t>필수</t>
        </is>
      </c>
      <c r="G89" s="33" t="inlineStr">
        <is>
          <t>META_EXTRA</t>
        </is>
      </c>
      <c r="H89" s="5" t="inlineStr">
        <is>
          <t>파일명 · 표지</t>
        </is>
      </c>
      <c r="I89" s="5" t="inlineStr">
        <is>
          <t>S01 최종본 판정</t>
        </is>
      </c>
      <c r="J89" s="30" t="inlineStr">
        <is>
          <t>"v1.0"</t>
        </is>
      </c>
      <c r="K89" s="6" t="inlineStr"/>
      <c r="L89" s="6" t="inlineStr"/>
    </row>
    <row r="90">
      <c r="A90" s="26" t="inlineStr">
        <is>
          <t>소스별</t>
        </is>
      </c>
      <c r="B90" s="24" t="inlineStr">
        <is>
          <t>사내 보고서</t>
        </is>
      </c>
      <c r="C90" s="28" t="inlineStr">
        <is>
          <t>approval_status</t>
        </is>
      </c>
      <c r="D90" s="5" t="inlineStr">
        <is>
          <t>결재 상태</t>
        </is>
      </c>
      <c r="E90" s="5" t="inlineStr">
        <is>
          <t>string</t>
        </is>
      </c>
      <c r="F90" s="24" t="inlineStr">
        <is>
          <t>필수</t>
        </is>
      </c>
      <c r="G90" s="33" t="inlineStr">
        <is>
          <t>META_EXTRA</t>
        </is>
      </c>
      <c r="H90" s="5" t="inlineStr">
        <is>
          <t>그룹웨어</t>
        </is>
      </c>
      <c r="I90" s="5" t="inlineStr">
        <is>
          <t>최종본만 적재</t>
        </is>
      </c>
      <c r="J90" s="30" t="inlineStr">
        <is>
          <t>"APPROVED"</t>
        </is>
      </c>
      <c r="K90" s="6" t="inlineStr"/>
      <c r="L90" s="6" t="inlineStr"/>
    </row>
    <row r="91">
      <c r="A91" s="26" t="inlineStr">
        <is>
          <t>소스별</t>
        </is>
      </c>
      <c r="B91" s="24" t="inlineStr">
        <is>
          <t>사내 보고서</t>
        </is>
      </c>
      <c r="C91" s="28" t="inlineStr">
        <is>
          <t>report_kind</t>
        </is>
      </c>
      <c r="D91" s="5" t="inlineStr">
        <is>
          <t>보고서 종류</t>
        </is>
      </c>
      <c r="E91" s="5" t="inlineStr">
        <is>
          <t>string</t>
        </is>
      </c>
      <c r="F91" s="24" t="inlineStr">
        <is>
          <t>권장</t>
        </is>
      </c>
      <c r="G91" s="33" t="inlineStr">
        <is>
          <t>META_EXTRA</t>
        </is>
      </c>
      <c r="H91" s="5" t="inlineStr">
        <is>
          <t>표지</t>
        </is>
      </c>
      <c r="I91" s="5" t="inlineStr">
        <is>
          <t>표시 · 필터</t>
        </is>
      </c>
      <c r="J91" s="30" t="inlineStr">
        <is>
          <t>"시장동향"</t>
        </is>
      </c>
      <c r="K91" s="6" t="inlineStr"/>
      <c r="L91" s="6" t="inlineStr"/>
    </row>
    <row r="92">
      <c r="A92" s="26" t="inlineStr">
        <is>
          <t>소스별</t>
        </is>
      </c>
      <c r="B92" s="24" t="inlineStr">
        <is>
          <t>사내 보고서</t>
        </is>
      </c>
      <c r="C92" s="28" t="inlineStr">
        <is>
          <t>period_covered</t>
        </is>
      </c>
      <c r="D92" s="5" t="inlineStr">
        <is>
          <t>대상 기간</t>
        </is>
      </c>
      <c r="E92" s="5" t="inlineStr">
        <is>
          <t>string</t>
        </is>
      </c>
      <c r="F92" s="24" t="inlineStr">
        <is>
          <t>권장</t>
        </is>
      </c>
      <c r="G92" s="33" t="inlineStr">
        <is>
          <t>META_EXTRA</t>
        </is>
      </c>
      <c r="H92" s="5" t="inlineStr">
        <is>
          <t>제목 · 본문</t>
        </is>
      </c>
      <c r="I92" s="5" t="inlineStr">
        <is>
          <t>기간 필터 보조</t>
        </is>
      </c>
      <c r="J92" s="30" t="inlineStr">
        <is>
          <t>"3Q26"</t>
        </is>
      </c>
      <c r="K92" s="6" t="inlineStr"/>
      <c r="L92" s="6" t="inlineStr"/>
    </row>
    <row r="93">
      <c r="A93" s="26" t="inlineStr">
        <is>
          <t>소스별</t>
        </is>
      </c>
      <c r="B93" s="24" t="inlineStr">
        <is>
          <t>사내 보고서</t>
        </is>
      </c>
      <c r="C93" s="28" t="inlineStr">
        <is>
          <t>file_format</t>
        </is>
      </c>
      <c r="D93" s="5" t="inlineStr">
        <is>
          <t>원본 형식</t>
        </is>
      </c>
      <c r="E93" s="5" t="inlineStr">
        <is>
          <t>string</t>
        </is>
      </c>
      <c r="F93" s="24" t="inlineStr">
        <is>
          <t>권장</t>
        </is>
      </c>
      <c r="G93" s="33" t="inlineStr">
        <is>
          <t>META_EXTRA</t>
        </is>
      </c>
      <c r="H93" s="5" t="inlineStr">
        <is>
          <t>파일 확장자</t>
        </is>
      </c>
      <c r="I93" s="5" t="inlineStr">
        <is>
          <t>S02 파서 분기</t>
        </is>
      </c>
      <c r="J93" s="30" t="inlineStr">
        <is>
          <t>"PPTX"</t>
        </is>
      </c>
      <c r="K93" s="6" t="inlineStr"/>
      <c r="L93" s="6" t="inlineStr"/>
    </row>
    <row r="94">
      <c r="A94" s="26" t="inlineStr">
        <is>
          <t>소스별</t>
        </is>
      </c>
      <c r="B94" s="24" t="inlineStr">
        <is>
          <t>사내 보고서</t>
        </is>
      </c>
      <c r="C94" s="28" t="inlineStr">
        <is>
          <t>SECTION_PATH ← slide_no</t>
        </is>
      </c>
      <c r="D94" s="5" t="inlineStr">
        <is>
          <t>슬라이드 번호</t>
        </is>
      </c>
      <c r="E94" s="5" t="inlineStr">
        <is>
          <t>VARCHAR2(1000 CHAR)</t>
        </is>
      </c>
      <c r="F94" s="24" t="inlineStr">
        <is>
          <t>권장</t>
        </is>
      </c>
      <c r="G94" s="32" t="inlineStr">
        <is>
          <t>청크 컬럼</t>
        </is>
      </c>
      <c r="H94" s="5" t="inlineStr">
        <is>
          <t>청크 생성 시</t>
        </is>
      </c>
      <c r="I94" s="5" t="inlineStr">
        <is>
          <t>인용 위치</t>
        </is>
      </c>
      <c r="J94" s="30" t="inlineStr">
        <is>
          <t>슬라이드 7</t>
        </is>
      </c>
      <c r="K94" s="6" t="inlineStr"/>
      <c r="L94" s="6" t="inlineStr"/>
    </row>
    <row r="95">
      <c r="A95" s="26" t="inlineStr">
        <is>
          <t>소스별</t>
        </is>
      </c>
      <c r="B95" s="24" t="inlineStr">
        <is>
          <t>임원 보고서</t>
        </is>
      </c>
      <c r="C95" s="28" t="inlineStr">
        <is>
          <t>SECURITY_LEVEL</t>
        </is>
      </c>
      <c r="D95" s="5" t="inlineStr">
        <is>
          <t>보안 등급</t>
        </is>
      </c>
      <c r="E95" s="5" t="inlineStr">
        <is>
          <t>NUMBER(1)</t>
        </is>
      </c>
      <c r="F95" s="24" t="inlineStr">
        <is>
          <t>필수</t>
        </is>
      </c>
      <c r="G95" s="29" t="inlineStr">
        <is>
          <t>공통 컬럼</t>
        </is>
      </c>
      <c r="H95" s="5" t="inlineStr">
        <is>
          <t>표지 표기 (등급 3 고정)</t>
        </is>
      </c>
      <c r="I95" s="5" t="inlineStr">
        <is>
          <t>S10 · S28</t>
        </is>
      </c>
      <c r="J95" s="30" t="inlineStr">
        <is>
          <t>3</t>
        </is>
      </c>
      <c r="K95" s="6" t="inlineStr"/>
      <c r="L95" s="6" t="inlineStr"/>
    </row>
    <row r="96">
      <c r="A96" s="26" t="inlineStr">
        <is>
          <t>소스별</t>
        </is>
      </c>
      <c r="B96" s="24" t="inlineStr">
        <is>
          <t>임원 보고서</t>
        </is>
      </c>
      <c r="C96" s="28" t="inlineStr">
        <is>
          <t>ORG_NAME ← department</t>
        </is>
      </c>
      <c r="D96" s="5" t="inlineStr">
        <is>
          <t>보고 부서</t>
        </is>
      </c>
      <c r="E96" s="5" t="inlineStr">
        <is>
          <t>VARCHAR2(200 CHAR)</t>
        </is>
      </c>
      <c r="F96" s="24" t="inlineStr">
        <is>
          <t>필수</t>
        </is>
      </c>
      <c r="G96" s="29" t="inlineStr">
        <is>
          <t>공통 컬럼</t>
        </is>
      </c>
      <c r="H96" s="5" t="inlineStr">
        <is>
          <t>표지</t>
        </is>
      </c>
      <c r="I96" s="5" t="inlineStr">
        <is>
          <t>필터 · 인용</t>
        </is>
      </c>
      <c r="J96" s="30" t="inlineStr">
        <is>
          <t>전략기획</t>
        </is>
      </c>
      <c r="K96" s="6" t="inlineStr"/>
      <c r="L96" s="6" t="inlineStr"/>
    </row>
    <row r="97">
      <c r="A97" s="26" t="inlineStr">
        <is>
          <t>소스별</t>
        </is>
      </c>
      <c r="B97" s="24" t="inlineStr">
        <is>
          <t>임원 보고서</t>
        </is>
      </c>
      <c r="C97" s="28" t="inlineStr">
        <is>
          <t>report_to</t>
        </is>
      </c>
      <c r="D97" s="5" t="inlineStr">
        <is>
          <t>보고 대상</t>
        </is>
      </c>
      <c r="E97" s="5" t="inlineStr">
        <is>
          <t>string</t>
        </is>
      </c>
      <c r="F97" s="24" t="inlineStr">
        <is>
          <t>필수</t>
        </is>
      </c>
      <c r="G97" s="33" t="inlineStr">
        <is>
          <t>META_EXTRA</t>
        </is>
      </c>
      <c r="H97" s="5" t="inlineStr">
        <is>
          <t>표지 · 결재선</t>
        </is>
      </c>
      <c r="I97" s="5" t="inlineStr">
        <is>
          <t>표시</t>
        </is>
      </c>
      <c r="J97" s="30" t="inlineStr">
        <is>
          <t>"CEO"</t>
        </is>
      </c>
      <c r="K97" s="6" t="inlineStr"/>
      <c r="L97" s="6" t="inlineStr"/>
    </row>
    <row r="98">
      <c r="A98" s="26" t="inlineStr">
        <is>
          <t>소스별</t>
        </is>
      </c>
      <c r="B98" s="24" t="inlineStr">
        <is>
          <t>임원 보고서</t>
        </is>
      </c>
      <c r="C98" s="28" t="inlineStr">
        <is>
          <t>meeting_body</t>
        </is>
      </c>
      <c r="D98" s="5" t="inlineStr">
        <is>
          <t>보고 회의체</t>
        </is>
      </c>
      <c r="E98" s="5" t="inlineStr">
        <is>
          <t>string</t>
        </is>
      </c>
      <c r="F98" s="24" t="inlineStr">
        <is>
          <t>권장</t>
        </is>
      </c>
      <c r="G98" s="33" t="inlineStr">
        <is>
          <t>META_EXTRA</t>
        </is>
      </c>
      <c r="H98" s="5" t="inlineStr">
        <is>
          <t>표지</t>
        </is>
      </c>
      <c r="I98" s="5" t="inlineStr">
        <is>
          <t>표시 · 필터</t>
        </is>
      </c>
      <c r="J98" s="30" t="inlineStr">
        <is>
          <t>"경영회의"</t>
        </is>
      </c>
      <c r="K98" s="6" t="inlineStr"/>
      <c r="L98" s="6" t="inlineStr"/>
    </row>
    <row r="99">
      <c r="A99" s="26" t="inlineStr">
        <is>
          <t>소스별</t>
        </is>
      </c>
      <c r="B99" s="24" t="inlineStr">
        <is>
          <t>임원 보고서</t>
        </is>
      </c>
      <c r="C99" s="28" t="inlineStr">
        <is>
          <t>confidentiality</t>
        </is>
      </c>
      <c r="D99" s="5" t="inlineStr">
        <is>
          <t>대외 등급</t>
        </is>
      </c>
      <c r="E99" s="5" t="inlineStr">
        <is>
          <t>string</t>
        </is>
      </c>
      <c r="F99" s="24" t="inlineStr">
        <is>
          <t>필수</t>
        </is>
      </c>
      <c r="G99" s="33" t="inlineStr">
        <is>
          <t>META_EXTRA</t>
        </is>
      </c>
      <c r="H99" s="5" t="inlineStr">
        <is>
          <t>표지 표기</t>
        </is>
      </c>
      <c r="I99" s="5" t="inlineStr">
        <is>
          <t>표시 · 감사</t>
        </is>
      </c>
      <c r="J99" s="30" t="inlineStr">
        <is>
          <t>"CONFIDENTIAL"</t>
        </is>
      </c>
      <c r="K99" s="6" t="inlineStr"/>
      <c r="L99" s="6" t="inlineStr"/>
    </row>
    <row r="100">
      <c r="A100" s="26" t="inlineStr">
        <is>
          <t>소스별</t>
        </is>
      </c>
      <c r="B100" s="24" t="inlineStr">
        <is>
          <t>임원 보고서</t>
        </is>
      </c>
      <c r="C100" s="28" t="inlineStr">
        <is>
          <t>decision_items</t>
        </is>
      </c>
      <c r="D100" s="5" t="inlineStr">
        <is>
          <t>결정 · 지시 사항</t>
        </is>
      </c>
      <c r="E100" s="5" t="inlineStr">
        <is>
          <t>array</t>
        </is>
      </c>
      <c r="F100" s="24" t="inlineStr">
        <is>
          <t>권장</t>
        </is>
      </c>
      <c r="G100" s="33" t="inlineStr">
        <is>
          <t>META_EXTRA</t>
        </is>
      </c>
      <c r="H100" s="5" t="inlineStr">
        <is>
          <t>본문 추출</t>
        </is>
      </c>
      <c r="I100" s="5" t="inlineStr">
        <is>
          <t>질문 응답 · 추적</t>
        </is>
      </c>
      <c r="J100" s="30" t="inlineStr">
        <is>
          <t>["고객 다변화 추진"]</t>
        </is>
      </c>
      <c r="K100" s="6" t="inlineStr"/>
      <c r="L100" s="6" t="inlineStr"/>
    </row>
    <row r="101">
      <c r="A101" s="26" t="inlineStr">
        <is>
          <t>소스별</t>
        </is>
      </c>
      <c r="B101" s="24" t="inlineStr">
        <is>
          <t>임원 보고서</t>
        </is>
      </c>
      <c r="C101" s="28" t="inlineStr">
        <is>
          <t>summary_slide</t>
        </is>
      </c>
      <c r="D101" s="5" t="inlineStr">
        <is>
          <t>요약 슬라이드 번호</t>
        </is>
      </c>
      <c r="E101" s="5" t="inlineStr">
        <is>
          <t>number</t>
        </is>
      </c>
      <c r="F101" s="24" t="inlineStr">
        <is>
          <t>권장</t>
        </is>
      </c>
      <c r="G101" s="33" t="inlineStr">
        <is>
          <t>META_EXTRA</t>
        </is>
      </c>
      <c r="H101" s="5" t="inlineStr">
        <is>
          <t>파싱</t>
        </is>
      </c>
      <c r="I101" s="5" t="inlineStr">
        <is>
          <t>리랭크 가중</t>
        </is>
      </c>
      <c r="J101" s="30" t="inlineStr">
        <is>
          <t>2</t>
        </is>
      </c>
      <c r="K101" s="6" t="inlineStr"/>
      <c r="L101" s="6" t="inlineStr"/>
    </row>
    <row r="102">
      <c r="A102" s="26" t="inlineStr">
        <is>
          <t>소스별</t>
        </is>
      </c>
      <c r="B102" s="24" t="inlineStr">
        <is>
          <t>임원 보고서</t>
        </is>
      </c>
      <c r="C102" s="28" t="inlineStr">
        <is>
          <t>approval_line</t>
        </is>
      </c>
      <c r="D102" s="5" t="inlineStr">
        <is>
          <t>결재선</t>
        </is>
      </c>
      <c r="E102" s="5" t="inlineStr">
        <is>
          <t>ACL 행</t>
        </is>
      </c>
      <c r="F102" s="24" t="inlineStr">
        <is>
          <t>필수</t>
        </is>
      </c>
      <c r="G102" s="35" t="inlineStr">
        <is>
          <t>ACL 행</t>
        </is>
      </c>
      <c r="H102" s="5" t="inlineStr">
        <is>
          <t>그룹웨어</t>
        </is>
      </c>
      <c r="I102" s="5" t="inlineStr">
        <is>
          <t>S28 권한 필터</t>
        </is>
      </c>
      <c r="J102" s="30" t="inlineStr">
        <is>
          <t>USER A상무 / USER B전무</t>
        </is>
      </c>
      <c r="K102" s="6" t="inlineStr"/>
      <c r="L102" s="6" t="inlineStr"/>
    </row>
    <row r="104">
      <c r="A104" s="13" t="inlineStr">
        <is>
          <t>정리하면서 놓치기 쉬운 것</t>
        </is>
      </c>
    </row>
    <row r="105" ht="28" customHeight="1">
      <c r="A105" s="4" t="inlineStr">
        <is>
          <t>필수 등급 기준</t>
        </is>
      </c>
      <c r="B105" s="36" t="n"/>
      <c r="C105" s="5" t="inlineStr">
        <is>
          <t>검색 · 권한 · 인용 중 하나가 깨지는 항목만 M · 그 외 R(권장) / O(선택)</t>
        </is>
      </c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6" t="n"/>
    </row>
    <row r="106" ht="28" customHeight="1">
      <c r="A106" s="4" t="inlineStr">
        <is>
          <t>저장 위치 = 설계 결정</t>
        </is>
      </c>
      <c r="B106" s="36" t="n"/>
      <c r="C106" s="5" t="inlineStr">
        <is>
          <t>동일 항목도 &lt;b&gt;공통 컬럼 / META_EXTRA(JSON) / TAGS / ACL 행&lt;/b&gt; 중 어디에 두느냐에 따라 필터 · 권한 사용 가능 여부 결정</t>
        </is>
      </c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6" t="n"/>
    </row>
    <row r="107" ht="28" customHeight="1">
      <c r="A107" s="4" t="inlineStr">
        <is>
          <t>"←" 표기</t>
        </is>
      </c>
      <c r="B107" s="36" t="n"/>
      <c r="C107" s="5" t="inlineStr">
        <is>
          <t>ORG_NAME ← publisher = 소스 항목을 공통 컬럼에 적재 · 소스별 명칭 상이해도 저장 위치는 단일화</t>
        </is>
      </c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6" t="n"/>
    </row>
    <row r="108" ht="28" customHeight="1">
      <c r="A108" s="4" t="inlineStr">
        <is>
          <t>권한 항목</t>
        </is>
      </c>
      <c r="B108" s="36" t="n"/>
      <c r="C108" s="5" t="inlineStr">
        <is>
          <t>수신자 · 참석자 · 결재선을 JSON 배열 보관 시 권한 필터 사용 불가 → ACL 테이블 행 분해 후 Milvus 배열 필드로 복제</t>
        </is>
      </c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6" t="n"/>
    </row>
    <row r="109" ht="28" customHeight="1">
      <c r="A109" s="4" t="inlineStr">
        <is>
          <t>이중 날짜 소스</t>
        </is>
      </c>
      <c r="B109" s="36" t="n"/>
      <c r="C109" s="5" t="inlineStr">
        <is>
          <t>기관(발행일 vs data_asof) · 지식문서(작성일 vs 최종 수정일) 분리 저장 · 검색 기준 값만 PUBLISHED_AT 적재</t>
        </is>
      </c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6" t="n"/>
    </row>
    <row r="110" ht="28" customHeight="1">
      <c r="A110" s="4" t="inlineStr">
        <is>
          <t>본문 3종 용도</t>
        </is>
      </c>
      <c r="B110" s="36" t="n"/>
      <c r="C110" s="5" t="inlineStr">
        <is>
          <t>RAW_BODY = 재처리 기준 / CLEAN_BODY = 청킹 입력 · 해시 산출 / SUMMARY = 목록 표시 · 컨텍스트 압축 · 센싱 · 상호 덮어쓰기 금지</t>
        </is>
      </c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6" t="n"/>
    </row>
    <row r="111" ht="28" customHeight="1">
      <c r="A111" s="4" t="inlineStr">
        <is>
          <t>요약 생성 시점</t>
        </is>
      </c>
      <c r="B111" s="36" t="n"/>
      <c r="C111" s="5" t="inlineStr">
        <is>
          <t>적재 후 배치 1회 · 질의 시점 생성 금지(지연 · 비결정성) · SUMMARY_MODEL · SUMMARY_AT 기록 → 모델 교체 시 재생성 대상 식별</t>
        </is>
      </c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6" t="n"/>
    </row>
    <row r="112" ht="28" customHeight="1">
      <c r="A112" s="4" t="inlineStr">
        <is>
          <t>사내 보유 칸</t>
        </is>
      </c>
      <c r="B112" s="36" t="n"/>
      <c r="C112" s="5" t="inlineStr">
        <is>
          <t>보유 / 파생 가능 / 없음 중 선택 · "파생 가능" = 본문 또는 타 컬럼에서 생성 가능(매핑 ③)</t>
        </is>
      </c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6" t="n"/>
    </row>
  </sheetData>
  <autoFilter ref="A4:L102"/>
  <mergeCells count="18">
    <mergeCell ref="A2:L2"/>
    <mergeCell ref="C107:L107"/>
    <mergeCell ref="C110:L110"/>
    <mergeCell ref="C111:L111"/>
    <mergeCell ref="A112:B112"/>
    <mergeCell ref="A108:B108"/>
    <mergeCell ref="A1:L1"/>
    <mergeCell ref="A107:B107"/>
    <mergeCell ref="C106:L106"/>
    <mergeCell ref="C105:L105"/>
    <mergeCell ref="A111:B111"/>
    <mergeCell ref="C108:L108"/>
    <mergeCell ref="C109:L109"/>
    <mergeCell ref="A110:B110"/>
    <mergeCell ref="A106:B106"/>
    <mergeCell ref="C112:L112"/>
    <mergeCell ref="A105:B105"/>
    <mergeCell ref="A109:B109"/>
  </mergeCells>
  <conditionalFormatting sqref="F5:F102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K5:K102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K5:K102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META_EXTRA · TAGS · ACL — JSON 스키마 · 규칙</t>
        </is>
      </c>
    </row>
    <row r="2">
      <c r="A2" s="2" t="inlineStr">
        <is>
          <t>소스별 JSON 형식(복사 사용) · 사내 테이블 매핑 기준</t>
        </is>
      </c>
    </row>
    <row r="4">
      <c r="A4" s="13" t="inlineStr">
        <is>
          <t>TAGS (모든 소스 공통)</t>
        </is>
      </c>
    </row>
    <row r="5" ht="126" customHeight="1">
      <c r="A5" s="38" t="inlineStr">
        <is>
          <t>TAGS (모든 소스 공통 · 센싱 · 라우팅 근거)
{
  "company": ["마이크론", "SK하이닉스"],     // 코드 사전 표준명으로 정규화
  "product": ["HBM", "eSSD"],
  "topic":   ["증설", "가격"],               // 센싱 축 · 하위 신호와 동일 어휘
  "region":  ["일본"],
  "event":   "CAPACITY_EXPANSION"            // 선택: 이벤트 유형 코드
}</t>
        </is>
      </c>
      <c r="B5" s="37" t="n"/>
      <c r="C5" s="37" t="n"/>
      <c r="D5" s="37" t="n"/>
      <c r="E5" s="37" t="n"/>
      <c r="F5" s="36" t="n"/>
    </row>
    <row r="7">
      <c r="A7" s="13" t="inlineStr">
        <is>
          <t>RAG_DOC_ACL (권한)</t>
        </is>
      </c>
    </row>
    <row r="8" ht="126" customHeight="1">
      <c r="A8" s="38" t="inlineStr">
        <is>
          <t>RAG_DOC_ACL (권한: JSON 아님 · 행 단위 저장)
DOC_ID              PRINCIPAL_TYPE  PRINCIPAL_ID
EML_20260910_004412  USER            lee@company.example      ← 발신자
EML_20260910_004412  USER            pm@company.example       ← 수신자
EXE_20260911_000009  GROUP           STRATEGY_PLANNING        ← 결재선 부서
NEWS_20260915_000123 ALL             *                        ← 사외 공개
→ Milvus: acl = ["lee@…","pm@…"] 배열 필드로 복제 후 검색 필터에 사용</t>
        </is>
      </c>
      <c r="B8" s="37" t="n"/>
      <c r="C8" s="37" t="n"/>
      <c r="D8" s="37" t="n"/>
      <c r="E8" s="37" t="n"/>
      <c r="F8" s="36" t="n"/>
    </row>
    <row r="10">
      <c r="A10" s="13" t="inlineStr">
        <is>
          <t>META_EXTRA — 뉴스 (NEWS)</t>
        </is>
      </c>
    </row>
    <row r="11" ht="98" customHeight="1">
      <c r="A11" s="38" t="inlineStr">
        <is>
          <t>{
  "category":    "IT/테크",
  "cluster_id":  "EVT_20260915_HBM_MU",
  "is_primary":  "Y",
  "press_type":  "종합지"
}</t>
        </is>
      </c>
      <c r="B11" s="37" t="n"/>
      <c r="C11" s="37" t="n"/>
      <c r="D11" s="37" t="n"/>
      <c r="E11" s="37" t="n"/>
      <c r="F11" s="36" t="n"/>
    </row>
    <row r="13">
      <c r="A13" s="13" t="inlineStr">
        <is>
          <t>META_EXTRA — 증권사 리포트 (BROKER)</t>
        </is>
      </c>
    </row>
    <row r="14" ht="126" customHeight="1">
      <c r="A14" s="38" t="inlineStr">
        <is>
          <t>{
  "period_covered": "3Q26",
  "report_type":    "산업",
  "target_stock":   "메모리 반도체",
  "opinion":        "BUY",
  "target_price":   260000,
  "has_table":      "Y"
}</t>
        </is>
      </c>
      <c r="B14" s="37" t="n"/>
      <c r="C14" s="37" t="n"/>
      <c r="D14" s="37" t="n"/>
      <c r="E14" s="37" t="n"/>
      <c r="F14" s="36" t="n"/>
    </row>
    <row r="16">
      <c r="A16" s="13" t="inlineStr">
        <is>
          <t>META_EXTRA — 기관 보고서 (INSTITUTION)</t>
        </is>
      </c>
    </row>
    <row r="17" ht="112" customHeight="1">
      <c r="A17" s="38" t="inlineStr">
        <is>
          <t>{
  "data_asof":     "2Q26",
  "research_type": "시장전망",
  "license_scope": "사내 열람",
  "region_scope":  "Global",
  "keywords":      ["HBM", "DRAM", "CapEx"]
}</t>
        </is>
      </c>
      <c r="B17" s="37" t="n"/>
      <c r="C17" s="37" t="n"/>
      <c r="D17" s="37" t="n"/>
      <c r="E17" s="37" t="n"/>
      <c r="F17" s="36" t="n"/>
    </row>
    <row r="19">
      <c r="A19" s="13" t="inlineStr">
        <is>
          <t>META_EXTRA — 메일 (EMAIL)</t>
        </is>
      </c>
    </row>
    <row r="20" ht="112" customHeight="1">
      <c r="A20" s="38" t="inlineStr">
        <is>
          <t>{
  "thread_id":      "TH_9901",
  "has_attachment": "Y",
  "attach_doc_ids": ["RPT_20260910_0007"],
  "quote_removed":  "Y",
  "recipients_cnt": 3
}</t>
        </is>
      </c>
      <c r="B20" s="37" t="n"/>
      <c r="C20" s="37" t="n"/>
      <c r="D20" s="37" t="n"/>
      <c r="E20" s="37" t="n"/>
      <c r="F20" s="36" t="n"/>
    </row>
    <row r="22">
      <c r="A22" s="13" t="inlineStr">
        <is>
          <t>META_EXTRA — 회의록 (MEETING)</t>
        </is>
      </c>
    </row>
    <row r="23" ht="126" customHeight="1">
      <c r="A23" s="38" t="inlineStr">
        <is>
          <t>{
  "project_code": "PRJ-MIS-2026",
  "agenda_no":    2,
  "decisions":    ["4Q 전망 유지"],
  "action_items": [
    {"task": "고객별 발주 재확인", "owner": "박기록", "due": "2026-09-24"}
  ]
}</t>
        </is>
      </c>
      <c r="B23" s="37" t="n"/>
      <c r="C23" s="37" t="n"/>
      <c r="D23" s="37" t="n"/>
      <c r="E23" s="37" t="n"/>
      <c r="F23" s="36" t="n"/>
    </row>
    <row r="25">
      <c r="A25" s="13" t="inlineStr">
        <is>
          <t>META_EXTRA — 사내 보고서 (REPORT)</t>
        </is>
      </c>
    </row>
    <row r="26" ht="112" customHeight="1">
      <c r="A26" s="38" t="inlineStr">
        <is>
          <t>{
  "version":         "v1.0",
  "approval_status": "APPROVED",
  "report_kind":     "시장동향",
  "period_covered":  "3Q26",
  "file_format":     "PPTX"
}</t>
        </is>
      </c>
      <c r="B26" s="37" t="n"/>
      <c r="C26" s="37" t="n"/>
      <c r="D26" s="37" t="n"/>
      <c r="E26" s="37" t="n"/>
      <c r="F26" s="36" t="n"/>
    </row>
    <row r="28">
      <c r="A28" s="13" t="inlineStr">
        <is>
          <t>META_EXTRA — 임원 보고서 (EXEC_REPORT)</t>
        </is>
      </c>
    </row>
    <row r="29" ht="112" customHeight="1">
      <c r="A29" s="38" t="inlineStr">
        <is>
          <t>{
  "report_to":       "CEO",
  "meeting_body":    "경영회의",
  "confidentiality": "CONFIDENTIAL",
  "decision_items":  ["고객 다변화 추진"],
  "summary_slide":   2
}</t>
        </is>
      </c>
      <c r="B29" s="37" t="n"/>
      <c r="C29" s="37" t="n"/>
      <c r="D29" s="37" t="n"/>
      <c r="E29" s="37" t="n"/>
      <c r="F29" s="36" t="n"/>
    </row>
    <row r="31">
      <c r="A31" s="13" t="inlineStr">
        <is>
          <t>JSON 사용 규칙</t>
        </is>
      </c>
    </row>
    <row r="32">
      <c r="A32" s="3" t="inlineStr">
        <is>
          <t>규칙</t>
        </is>
      </c>
      <c r="B32" s="3" t="inlineStr">
        <is>
          <t>내용</t>
        </is>
      </c>
      <c r="C32" s="3" t="inlineStr">
        <is>
          <t>예</t>
        </is>
      </c>
    </row>
    <row r="33" ht="30" customHeight="1">
      <c r="A33" s="4" t="inlineStr">
        <is>
          <t>승격 기준</t>
        </is>
      </c>
      <c r="B33" s="5" t="inlineStr">
        <is>
          <t>필터 · 권한 · 정렬 · 인용 사용 → 공통 컬럼 / 표시 · 참고 전용 → JSON</t>
        </is>
      </c>
      <c r="C33" s="36" t="n"/>
    </row>
    <row r="34" ht="30" customHeight="1">
      <c r="A34" s="4" t="inlineStr">
        <is>
          <t>JSON 필터 제약</t>
        </is>
      </c>
      <c r="B34" s="5" t="inlineStr">
        <is>
          <t>Milvus 벡터 검색과 동시 필터 불가 · Oracle 은 함수 기반 인덱스 필요</t>
        </is>
      </c>
      <c r="C34" s="36" t="n"/>
    </row>
    <row r="35" ht="30" customHeight="1">
      <c r="A35" s="4" t="inlineStr">
        <is>
          <t>Oracle 저장</t>
        </is>
      </c>
      <c r="B35" s="5" t="inlineStr">
        <is>
          <t>19c: CLOB + CHECK(IS JSON) / 21c+: JSON 타입 · 고빈도 키는 가상 컬럼 + 인덱스</t>
        </is>
      </c>
      <c r="C35" s="36" t="n"/>
    </row>
    <row r="36" ht="30" customHeight="1">
      <c r="A36" s="4" t="inlineStr">
        <is>
          <t>Milvus 복제 범위</t>
        </is>
      </c>
      <c r="B36" s="5" t="inlineStr">
        <is>
          <t>필터 사용 값만 스칼라 필드 · 그 외는 JSON 필드 1개(표시 전용)</t>
        </is>
      </c>
      <c r="C36" s="36" t="n"/>
    </row>
    <row r="37" ht="30" customHeight="1">
      <c r="A37" s="4" t="inlineStr">
        <is>
          <t>키 명명 규칙</t>
        </is>
      </c>
      <c r="B37" s="5" t="inlineStr">
        <is>
          <t>동일 의미 키는 소스 간 동일 명칭 · 키 사전으로 관리</t>
        </is>
      </c>
      <c r="C37" s="36" t="n"/>
    </row>
    <row r="38" ht="30" customHeight="1">
      <c r="A38" s="4" t="inlineStr">
        <is>
          <t>결측 처리</t>
        </is>
      </c>
      <c r="B38" s="5" t="inlineStr">
        <is>
          <t>null 저장 금지 · 키 생략 · 조회 시 기본값 처리</t>
        </is>
      </c>
      <c r="C38" s="36" t="n"/>
    </row>
    <row r="39" ht="30" customHeight="1">
      <c r="A39" s="4" t="inlineStr">
        <is>
          <t>본문 · 요약</t>
        </is>
      </c>
      <c r="B39" s="5" t="inlineStr">
        <is>
          <t>CLOB 컬럼 저장 · JSON 내 본문 포함 금지 (조회 · 갱신 비용)</t>
        </is>
      </c>
      <c r="C39" s="36" t="n"/>
    </row>
    <row r="41">
      <c r="A41" s="13" t="inlineStr">
        <is>
          <t>사내 테이블 매핑 — 4가지 경우</t>
        </is>
      </c>
    </row>
    <row r="42">
      <c r="A42" s="3" t="inlineStr">
        <is>
          <t>경우</t>
        </is>
      </c>
      <c r="B42" s="3" t="inlineStr">
        <is>
          <t>처리 방법</t>
        </is>
      </c>
      <c r="C42" s="3" t="inlineStr">
        <is>
          <t>예</t>
        </is>
      </c>
    </row>
    <row r="43" ht="32" customHeight="1">
      <c r="A43" s="4" t="inlineStr">
        <is>
          <t>① 동일 의미 컬럼 존재</t>
        </is>
      </c>
      <c r="B43" s="5" t="inlineStr">
        <is>
          <t>컬럼 매핑 + 값 형식(날짜 · 코드) 통일</t>
        </is>
      </c>
      <c r="C43" s="36" t="n"/>
    </row>
    <row r="44" ht="32" customHeight="1">
      <c r="A44" s="4" t="inlineStr">
        <is>
          <t>② 복수 테이블 분산</t>
        </is>
      </c>
      <c r="B44" s="5" t="inlineStr">
        <is>
          <t>적재 시 조인 또는 분석용 뷰 생성 후 조회</t>
        </is>
      </c>
      <c r="C44" s="36" t="n"/>
    </row>
    <row r="45" ht="32" customHeight="1">
      <c r="A45" s="4" t="inlineStr">
        <is>
          <t>③ 본문에서 파생 가능</t>
        </is>
      </c>
      <c r="B45" s="5" t="inlineStr">
        <is>
          <t>추출 규칙 정의 → 적재 파이프라인에서 생성 · 규칙 문서화</t>
        </is>
      </c>
      <c r="C45" s="36" t="n"/>
    </row>
    <row r="46" ht="32" customHeight="1">
      <c r="A46" s="4" t="inlineStr">
        <is>
          <t>④ 미보유</t>
        </is>
      </c>
      <c r="B46" s="5" t="inlineStr">
        <is>
          <t>수집 단계 확보 가능성 확인 → 불가 시 해당 기능 범위 축소</t>
        </is>
      </c>
      <c r="C46" s="36" t="n"/>
    </row>
  </sheetData>
  <mergeCells count="33">
    <mergeCell ref="B46:C46"/>
    <mergeCell ref="A26:F26"/>
    <mergeCell ref="D43:F43"/>
    <mergeCell ref="B43:C43"/>
    <mergeCell ref="B39:C39"/>
    <mergeCell ref="A2:F2"/>
    <mergeCell ref="D37:F37"/>
    <mergeCell ref="A14:F14"/>
    <mergeCell ref="A5:F5"/>
    <mergeCell ref="A23:F23"/>
    <mergeCell ref="A8:F8"/>
    <mergeCell ref="A17:F17"/>
    <mergeCell ref="A20:F20"/>
    <mergeCell ref="D39:F39"/>
    <mergeCell ref="D33:F33"/>
    <mergeCell ref="A29:F29"/>
    <mergeCell ref="D38:F38"/>
    <mergeCell ref="B38:C38"/>
    <mergeCell ref="B44:C44"/>
    <mergeCell ref="B34:C34"/>
    <mergeCell ref="B37:C37"/>
    <mergeCell ref="D35:F35"/>
    <mergeCell ref="D44:F44"/>
    <mergeCell ref="D34:F34"/>
    <mergeCell ref="A11:F11"/>
    <mergeCell ref="B33:C33"/>
    <mergeCell ref="A1:F1"/>
    <mergeCell ref="D46:F46"/>
    <mergeCell ref="B45:C45"/>
    <mergeCell ref="D36:F36"/>
    <mergeCell ref="B36:C36"/>
    <mergeCell ref="D45:F45"/>
    <mergeCell ref="B35:C35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39" t="inlineStr">
        <is>
          <t>계열</t>
        </is>
      </c>
    </row>
    <row r="5">
      <c r="A5" s="40" t="inlineStr">
        <is>
          <t>웹 텍스트</t>
        </is>
      </c>
      <c r="B5" s="41" t="inlineStr">
        <is>
          <t>뉴스</t>
        </is>
      </c>
      <c r="D5" s="42" t="inlineStr">
        <is>
          <t>HTML 본문 추출 → 정규화</t>
        </is>
      </c>
    </row>
    <row r="6">
      <c r="A6" s="40" t="inlineStr">
        <is>
          <t>PDF 문서</t>
        </is>
      </c>
      <c r="B6" s="41" t="inlineStr">
        <is>
          <t>증권사 · 기관</t>
        </is>
      </c>
      <c r="D6" s="42" t="inlineStr">
        <is>
          <t>레이아웃 파싱 → 표 분리</t>
        </is>
      </c>
    </row>
    <row r="7">
      <c r="A7" s="40" t="inlineStr">
        <is>
          <t>오피스 문서</t>
        </is>
      </c>
      <c r="B7" s="41" t="inlineStr">
        <is>
          <t>사내 보고서 · 임원 · 회의록</t>
        </is>
      </c>
      <c r="D7" s="42" t="inlineStr">
        <is>
          <t>형식 분기 → 슬라이드 · 헤딩</t>
        </is>
      </c>
    </row>
    <row r="8">
      <c r="A8" s="40" t="inlineStr">
        <is>
          <t>메일</t>
        </is>
      </c>
      <c r="B8" s="41" t="inlineStr">
        <is>
          <t>메일 (+ 첨부)</t>
        </is>
      </c>
      <c r="D8" s="42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43" t="inlineStr">
        <is>
          <t>원문
HTML · 텍스트</t>
        </is>
      </c>
      <c r="B11" s="44" t="inlineStr">
        <is>
          <t>→</t>
        </is>
      </c>
      <c r="C11" s="45" t="inlineStr">
        <is>
          <t>본문 추출
기사 본문만</t>
        </is>
      </c>
      <c r="D11" s="44" t="inlineStr">
        <is>
          <t>→</t>
        </is>
      </c>
      <c r="E11" s="46" t="inlineStr">
        <is>
          <t>노이즈 제거
광고 · 관련기사</t>
        </is>
      </c>
      <c r="F11" s="44" t="inlineStr">
        <is>
          <t>→</t>
        </is>
      </c>
      <c r="G11" s="45" t="inlineStr">
        <is>
          <t>재송고 판정
MinHash 대표 1건</t>
        </is>
      </c>
      <c r="H11" s="44" t="inlineStr">
        <is>
          <t>→</t>
        </is>
      </c>
      <c r="I11" s="47" t="inlineStr">
        <is>
          <t>청킹
기사 1건 = 1청크</t>
        </is>
      </c>
      <c r="J11" s="44" t="inlineStr">
        <is>
          <t>→</t>
        </is>
      </c>
      <c r="K11" s="47" t="inlineStr">
        <is>
          <t>메타 · 태그
언론사 · 회사 · 제품</t>
        </is>
      </c>
    </row>
    <row r="12" ht="38" customHeight="1">
      <c r="A12" s="48" t="inlineStr">
        <is>
          <t>청크 예시</t>
        </is>
      </c>
      <c r="B12" s="49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43" t="inlineStr">
        <is>
          <t>원문
PDF</t>
        </is>
      </c>
      <c r="B15" s="44" t="inlineStr">
        <is>
          <t>→</t>
        </is>
      </c>
      <c r="C15" s="45" t="inlineStr">
        <is>
          <t>레이아웃 파싱
페이지 · 단 · 블록</t>
        </is>
      </c>
      <c r="D15" s="44" t="inlineStr">
        <is>
          <t>→</t>
        </is>
      </c>
      <c r="E15" s="46" t="inlineStr">
        <is>
          <t>제거
표지 · 면책 · 머리글</t>
        </is>
      </c>
      <c r="F15" s="44" t="inlineStr">
        <is>
          <t>→</t>
        </is>
      </c>
      <c r="G15" s="45" t="inlineStr">
        <is>
          <t>▸ 본문 · 섹션 단위
▸ 표 · Markdown 표
▸ 차트 · 캡션 · 제외</t>
        </is>
      </c>
      <c r="H15" s="44" t="inlineStr">
        <is>
          <t>→</t>
        </is>
      </c>
      <c r="I15" s="47" t="inlineStr">
        <is>
          <t>청킹
섹션 + 표 별도</t>
        </is>
      </c>
      <c r="J15" s="44" t="inlineStr">
        <is>
          <t>→</t>
        </is>
      </c>
      <c r="K15" s="47" t="inlineStr">
        <is>
          <t>메타
증권사 · 종목 · 의견</t>
        </is>
      </c>
    </row>
    <row r="16" ht="68" customHeight="1">
      <c r="A16" s="48" t="inlineStr">
        <is>
          <t>청크 예시</t>
        </is>
      </c>
      <c r="B16" s="49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43" t="inlineStr">
        <is>
          <t>원문
긴 PDF</t>
        </is>
      </c>
      <c r="B19" s="44" t="inlineStr">
        <is>
          <t>→</t>
        </is>
      </c>
      <c r="C19" s="45" t="inlineStr">
        <is>
          <t>목차 인식
장 · 절 경로</t>
        </is>
      </c>
      <c r="D19" s="44" t="inlineStr">
        <is>
          <t>→</t>
        </is>
      </c>
      <c r="E19" s="46" t="inlineStr">
        <is>
          <t>제거
표지 · 목차 · 부록</t>
        </is>
      </c>
      <c r="F19" s="44" t="inlineStr">
        <is>
          <t>→</t>
        </is>
      </c>
      <c r="G19" s="50" t="inlineStr">
        <is>
          <t>표 분리
표 제목 · 단위</t>
        </is>
      </c>
      <c r="H19" s="44" t="inlineStr">
        <is>
          <t>→</t>
        </is>
      </c>
      <c r="I19" s="45" t="inlineStr">
        <is>
          <t>기준 시점
데이터 시점 추출</t>
        </is>
      </c>
      <c r="J19" s="44" t="inlineStr">
        <is>
          <t>→</t>
        </is>
      </c>
      <c r="K19" s="47" t="inlineStr">
        <is>
          <t>청킹
헤딩 경로 단위</t>
        </is>
      </c>
    </row>
    <row r="20" ht="38" customHeight="1">
      <c r="A20" s="48" t="inlineStr">
        <is>
          <t>청크 예시</t>
        </is>
      </c>
      <c r="B20" s="49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43" t="inlineStr">
        <is>
          <t>원문
EML · 본문</t>
        </is>
      </c>
      <c r="B23" s="44" t="inlineStr">
        <is>
          <t>→</t>
        </is>
      </c>
      <c r="C23" s="45" t="inlineStr">
        <is>
          <t>헤더 파싱
발신 · 수신 · 스레드</t>
        </is>
      </c>
      <c r="D23" s="44" t="inlineStr">
        <is>
          <t>→</t>
        </is>
      </c>
      <c r="E23" s="46" t="inlineStr">
        <is>
          <t>인용 제거
이전 메일 본문</t>
        </is>
      </c>
      <c r="F23" s="44" t="inlineStr">
        <is>
          <t>→</t>
        </is>
      </c>
      <c r="G23" s="46" t="inlineStr">
        <is>
          <t>서명 · 면책 제거
회사 서명 블록</t>
        </is>
      </c>
      <c r="H23" s="44" t="inlineStr">
        <is>
          <t>→</t>
        </is>
      </c>
      <c r="I23" s="45" t="inlineStr">
        <is>
          <t>▸ 본문 · 스레드 병합
▸ 첨부 · 원 유형 파이프라인</t>
        </is>
      </c>
      <c r="J23" s="44" t="inlineStr">
        <is>
          <t>→</t>
        </is>
      </c>
      <c r="K23" s="47" t="inlineStr">
        <is>
          <t>청킹 · ACL
스레드 단위 · 수신자</t>
        </is>
      </c>
    </row>
    <row r="24" ht="53" customHeight="1">
      <c r="A24" s="48" t="inlineStr">
        <is>
          <t>청크 예시</t>
        </is>
      </c>
      <c r="B24" s="49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43" t="inlineStr">
        <is>
          <t>원문
문서 · 양식</t>
        </is>
      </c>
      <c r="B27" s="44" t="inlineStr">
        <is>
          <t>→</t>
        </is>
      </c>
      <c r="C27" s="45" t="inlineStr">
        <is>
          <t>양식 인식
일시 · 참석자 · 안건</t>
        </is>
      </c>
      <c r="D27" s="44" t="inlineStr">
        <is>
          <t>→</t>
        </is>
      </c>
      <c r="E27" s="50" t="inlineStr">
        <is>
          <t>필드 추출
결정 · 액션 아이템</t>
        </is>
      </c>
      <c r="F27" s="44" t="inlineStr">
        <is>
          <t>→</t>
        </is>
      </c>
      <c r="G27" s="45" t="inlineStr">
        <is>
          <t>안건 분할
안건별로 나눔</t>
        </is>
      </c>
      <c r="H27" s="44" t="inlineStr">
        <is>
          <t>→</t>
        </is>
      </c>
      <c r="I27" s="47" t="inlineStr">
        <is>
          <t>청킹
안건 = 1청크</t>
        </is>
      </c>
      <c r="J27" s="44" t="inlineStr">
        <is>
          <t>→</t>
        </is>
      </c>
      <c r="K27" s="47" t="inlineStr">
        <is>
          <t>메타 · ACL
참석자 · 주관 부서</t>
        </is>
      </c>
    </row>
    <row r="28" ht="38" customHeight="1">
      <c r="A28" s="48" t="inlineStr">
        <is>
          <t>청크 예시</t>
        </is>
      </c>
      <c r="B28" s="49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43" t="inlineStr">
        <is>
          <t>원문
PPT · Word · Excel</t>
        </is>
      </c>
      <c r="B31" s="44" t="inlineStr">
        <is>
          <t>→</t>
        </is>
      </c>
      <c r="C31" s="45" t="inlineStr">
        <is>
          <t>버전 판정
최종본만</t>
        </is>
      </c>
      <c r="D31" s="44" t="inlineStr">
        <is>
          <t>→</t>
        </is>
      </c>
      <c r="E31" s="45" t="inlineStr">
        <is>
          <t>▸ PPT · 슬라이드 제목+본문
▸ Word · 헤딩 구조
▸ Excel · 시트 → 표 요약</t>
        </is>
      </c>
      <c r="F31" s="44" t="inlineStr">
        <is>
          <t>→</t>
        </is>
      </c>
      <c r="G31" s="46" t="inlineStr">
        <is>
          <t>정제
표지 · 목차 · 빈 슬라이드</t>
        </is>
      </c>
      <c r="H31" s="44" t="inlineStr">
        <is>
          <t>→</t>
        </is>
      </c>
      <c r="I31" s="47" t="inlineStr">
        <is>
          <t>청킹
슬라이드 · 헤딩 단위</t>
        </is>
      </c>
      <c r="J31" s="44" t="inlineStr">
        <is>
          <t>→</t>
        </is>
      </c>
      <c r="K31" s="47" t="inlineStr">
        <is>
          <t>메타 · ACL
부서 · 버전 · 등급</t>
        </is>
      </c>
    </row>
    <row r="32" ht="38" customHeight="1">
      <c r="A32" s="48" t="inlineStr">
        <is>
          <t>청크 예시</t>
        </is>
      </c>
      <c r="B32" s="49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임원 보고서</t>
        </is>
      </c>
      <c r="C34" s="2" t="inlineStr">
        <is>
          <t>계열 · 오피스 문서</t>
        </is>
      </c>
    </row>
    <row r="35" ht="38" customHeight="1">
      <c r="A35" s="43" t="inlineStr">
        <is>
          <t>원문
PPT</t>
        </is>
      </c>
      <c r="B35" s="44" t="inlineStr">
        <is>
          <t>→</t>
        </is>
      </c>
      <c r="C35" s="45" t="inlineStr">
        <is>
          <t>최종본 판정
보고 완료본</t>
        </is>
      </c>
      <c r="D35" s="44" t="inlineStr">
        <is>
          <t>→</t>
        </is>
      </c>
      <c r="E35" s="45" t="inlineStr">
        <is>
          <t>요약 우선
요약 · 결론 슬라이드</t>
        </is>
      </c>
      <c r="F35" s="44" t="inlineStr">
        <is>
          <t>→</t>
        </is>
      </c>
      <c r="G35" s="46" t="inlineStr">
        <is>
          <t>정제
표지 · 간지</t>
        </is>
      </c>
      <c r="H35" s="44" t="inlineStr">
        <is>
          <t>→</t>
        </is>
      </c>
      <c r="I35" s="47" t="inlineStr">
        <is>
          <t>청킹
슬라이드 단위</t>
        </is>
      </c>
      <c r="J35" s="44" t="inlineStr">
        <is>
          <t>→</t>
        </is>
      </c>
      <c r="K35" s="47" t="inlineStr">
        <is>
          <t>ACL
등급 3 · 결재선</t>
        </is>
      </c>
    </row>
    <row r="36" ht="38" customHeight="1">
      <c r="A36" s="48" t="inlineStr">
        <is>
          <t>청크 예시</t>
        </is>
      </c>
      <c r="B36" s="49" t="inlineStr">
        <is>
          <t>[임원보고 | 2026-09-11 | 전략기획 | 3Q 경영 현안 | 슬라이드 2. 요약]
 HBM 리스크: …</t>
        </is>
      </c>
    </row>
  </sheetData>
  <mergeCells count="17">
    <mergeCell ref="B6:C6"/>
    <mergeCell ref="A2:L2"/>
    <mergeCell ref="B7:C7"/>
    <mergeCell ref="B32:K32"/>
    <mergeCell ref="D5:I5"/>
    <mergeCell ref="B5:C5"/>
    <mergeCell ref="A1:L1"/>
    <mergeCell ref="B16:K16"/>
    <mergeCell ref="B12:K12"/>
    <mergeCell ref="B24:K24"/>
    <mergeCell ref="D6:I6"/>
    <mergeCell ref="B20:K20"/>
    <mergeCell ref="B8:C8"/>
    <mergeCell ref="B28:K28"/>
    <mergeCell ref="D7:I7"/>
    <mergeCell ref="D8:I8"/>
    <mergeCell ref="B36:K36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26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25" t="inlineStr">
        <is>
          <t>미확인</t>
        </is>
      </c>
      <c r="G5" s="6" t="inlineStr"/>
    </row>
    <row r="6">
      <c r="A6" s="26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25" t="inlineStr">
        <is>
          <t>미확인</t>
        </is>
      </c>
      <c r="G6" s="6" t="inlineStr"/>
    </row>
    <row r="7">
      <c r="A7" s="26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25" t="inlineStr">
        <is>
          <t>미확인</t>
        </is>
      </c>
      <c r="G7" s="6" t="inlineStr"/>
    </row>
    <row r="8">
      <c r="A8" s="26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25" t="inlineStr">
        <is>
          <t>미확인</t>
        </is>
      </c>
      <c r="G8" s="6" t="inlineStr"/>
    </row>
    <row r="9">
      <c r="A9" s="26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25" t="inlineStr">
        <is>
          <t>미확인</t>
        </is>
      </c>
      <c r="G9" s="6" t="inlineStr"/>
    </row>
    <row r="10">
      <c r="A10" s="26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25" t="inlineStr">
        <is>
          <t>미확인</t>
        </is>
      </c>
      <c r="G10" s="6" t="inlineStr"/>
    </row>
    <row r="11">
      <c r="A11" s="26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25" t="inlineStr">
        <is>
          <t>미확인</t>
        </is>
      </c>
      <c r="G11" s="6" t="inlineStr"/>
    </row>
    <row r="12">
      <c r="A12" s="26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25" t="inlineStr">
        <is>
          <t>미확인</t>
        </is>
      </c>
      <c r="G12" s="6" t="inlineStr"/>
    </row>
    <row r="13">
      <c r="A13" s="26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25" t="inlineStr">
        <is>
          <t>미확인</t>
        </is>
      </c>
      <c r="G13" s="6" t="inlineStr"/>
    </row>
    <row r="14">
      <c r="A14" s="26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25" t="inlineStr">
        <is>
          <t>미확인</t>
        </is>
      </c>
      <c r="G14" s="6" t="inlineStr"/>
    </row>
    <row r="15">
      <c r="A15" s="26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25" t="inlineStr">
        <is>
          <t>미확인</t>
        </is>
      </c>
      <c r="G15" s="6" t="inlineStr"/>
    </row>
    <row r="16">
      <c r="A16" s="26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25" t="inlineStr">
        <is>
          <t>미확인</t>
        </is>
      </c>
      <c r="G16" s="6" t="inlineStr"/>
    </row>
    <row r="17">
      <c r="A17" s="26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25" t="inlineStr">
        <is>
          <t>미확인</t>
        </is>
      </c>
      <c r="G17" s="6" t="inlineStr"/>
    </row>
    <row r="18">
      <c r="A18" s="26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25" t="inlineStr">
        <is>
          <t>미확인</t>
        </is>
      </c>
      <c r="G18" s="6" t="inlineStr"/>
    </row>
    <row r="19">
      <c r="A19" s="26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25" t="inlineStr">
        <is>
          <t>미확인</t>
        </is>
      </c>
      <c r="G19" s="6" t="inlineStr"/>
    </row>
    <row r="20">
      <c r="A20" s="26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25" t="inlineStr">
        <is>
          <t>미확인</t>
        </is>
      </c>
      <c r="G20" s="6" t="inlineStr"/>
    </row>
    <row r="21">
      <c r="A21" s="26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25" t="inlineStr">
        <is>
          <t>미확인</t>
        </is>
      </c>
      <c r="G21" s="6" t="inlineStr"/>
    </row>
    <row r="22">
      <c r="A22" s="26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25" t="inlineStr">
        <is>
          <t>미확인</t>
        </is>
      </c>
      <c r="G22" s="6" t="inlineStr"/>
    </row>
    <row r="23">
      <c r="A23" s="26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25" t="inlineStr">
        <is>
          <t>미확인</t>
        </is>
      </c>
      <c r="G23" s="6" t="inlineStr"/>
    </row>
    <row r="24">
      <c r="A24" s="26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25" t="inlineStr">
        <is>
          <t>미확인</t>
        </is>
      </c>
      <c r="G24" s="6" t="inlineStr"/>
    </row>
    <row r="25">
      <c r="A25" s="26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25" t="inlineStr">
        <is>
          <t>미확인</t>
        </is>
      </c>
      <c r="G25" s="6" t="inlineStr"/>
    </row>
    <row r="26">
      <c r="A26" s="26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25" t="inlineStr">
        <is>
          <t>미확인</t>
        </is>
      </c>
      <c r="G26" s="6" t="inlineStr"/>
    </row>
    <row r="27">
      <c r="A27" s="26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25" t="inlineStr">
        <is>
          <t>미확인</t>
        </is>
      </c>
      <c r="G27" s="6" t="inlineStr"/>
    </row>
    <row r="28">
      <c r="A28" s="26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25" t="inlineStr">
        <is>
          <t>미확인</t>
        </is>
      </c>
      <c r="G28" s="6" t="inlineStr"/>
    </row>
    <row r="29">
      <c r="A29" s="26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25" t="inlineStr">
        <is>
          <t>미확인</t>
        </is>
      </c>
      <c r="G29" s="6" t="inlineStr"/>
    </row>
    <row r="30">
      <c r="A30" s="26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25" t="inlineStr">
        <is>
          <t>미확인</t>
        </is>
      </c>
      <c r="G30" s="6" t="inlineStr"/>
    </row>
    <row r="31">
      <c r="A31" s="26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25" t="inlineStr">
        <is>
          <t>미확인</t>
        </is>
      </c>
      <c r="G31" s="6" t="inlineStr"/>
    </row>
    <row r="32">
      <c r="A32" s="26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25" t="inlineStr">
        <is>
          <t>미확인</t>
        </is>
      </c>
      <c r="G32" s="6" t="inlineStr"/>
    </row>
    <row r="33">
      <c r="A33" s="26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25" t="inlineStr">
        <is>
          <t>미확인</t>
        </is>
      </c>
      <c r="G33" s="6" t="inlineStr"/>
    </row>
    <row r="34">
      <c r="A34" s="26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25" t="inlineStr">
        <is>
          <t>미확인</t>
        </is>
      </c>
      <c r="G34" s="6" t="inlineStr"/>
    </row>
    <row r="35">
      <c r="A35" s="26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25" t="inlineStr">
        <is>
          <t>미확인</t>
        </is>
      </c>
      <c r="G35" s="6" t="inlineStr"/>
    </row>
    <row r="36">
      <c r="A36" s="26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25" t="inlineStr">
        <is>
          <t>미확인</t>
        </is>
      </c>
      <c r="G36" s="6" t="inlineStr"/>
    </row>
    <row r="37">
      <c r="A37" s="26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25" t="inlineStr">
        <is>
          <t>미확인</t>
        </is>
      </c>
      <c r="G37" s="6" t="inlineStr"/>
    </row>
    <row r="38">
      <c r="A38" s="26" t="inlineStr">
        <is>
          <t>임원 보고서</t>
        </is>
      </c>
      <c r="B38" s="5" t="inlineStr">
        <is>
          <t>최종본 판정</t>
        </is>
      </c>
      <c r="C38" s="5" t="inlineStr">
        <is>
          <t>실제 보고된 판만 적재</t>
        </is>
      </c>
      <c r="D38" s="5" t="inlineStr">
        <is>
          <t>—</t>
        </is>
      </c>
      <c r="E38" s="6" t="inlineStr"/>
      <c r="F38" s="25" t="inlineStr">
        <is>
          <t>미확인</t>
        </is>
      </c>
      <c r="G38" s="6" t="inlineStr"/>
    </row>
    <row r="39">
      <c r="A39" s="26" t="inlineStr">
        <is>
          <t>임원 보고서</t>
        </is>
      </c>
      <c r="B39" s="5" t="inlineStr">
        <is>
          <t>요약 우선</t>
        </is>
      </c>
      <c r="C39" s="5" t="inlineStr">
        <is>
          <t>요약 · 결론 슬라이드에 표시를 달아 리랭크 · 컨텍스트에서 우선</t>
        </is>
      </c>
      <c r="D39" s="5" t="inlineStr">
        <is>
          <t>—</t>
        </is>
      </c>
      <c r="E39" s="6" t="inlineStr"/>
      <c r="F39" s="25" t="inlineStr">
        <is>
          <t>미확인</t>
        </is>
      </c>
      <c r="G39" s="6" t="inlineStr"/>
    </row>
    <row r="40">
      <c r="A40" s="26" t="inlineStr">
        <is>
          <t>임원 보고서</t>
        </is>
      </c>
      <c r="B40" s="5" t="inlineStr">
        <is>
          <t>ACL</t>
        </is>
      </c>
      <c r="C40" s="5" t="inlineStr">
        <is>
          <t>보안등급 3 고정, ACL = 결재선 + 지정 그룹. 적재 직후 누출 테스트</t>
        </is>
      </c>
      <c r="D40" s="5" t="inlineStr">
        <is>
          <t>권한 없는 계정으로 SM04 · SM16 → "자료 없음"</t>
        </is>
      </c>
      <c r="E40" s="6" t="inlineStr"/>
      <c r="F40" s="25" t="inlineStr">
        <is>
          <t>미확인</t>
        </is>
      </c>
      <c r="G40" s="6" t="inlineStr"/>
    </row>
  </sheetData>
  <autoFilter ref="A4:G40"/>
  <mergeCells count="2">
    <mergeCell ref="A2:G2"/>
    <mergeCell ref="A1:G1"/>
  </mergeCells>
  <conditionalFormatting sqref="F5:F40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0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51" t="inlineStr">
        <is>
          <t>S01</t>
        </is>
      </c>
      <c r="B5" s="24" t="inlineStr">
        <is>
          <t>수집</t>
        </is>
      </c>
      <c r="C5" s="24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24" t="inlineStr">
        <is>
          <t>P0</t>
        </is>
      </c>
      <c r="H5" s="25" t="inlineStr">
        <is>
          <t>완료</t>
        </is>
      </c>
      <c r="I5" s="6" t="inlineStr"/>
    </row>
    <row r="6">
      <c r="A6" s="51" t="inlineStr">
        <is>
          <t>S01</t>
        </is>
      </c>
      <c r="B6" s="24" t="inlineStr">
        <is>
          <t>수집</t>
        </is>
      </c>
      <c r="C6" s="24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24" t="inlineStr">
        <is>
          <t>P2</t>
        </is>
      </c>
      <c r="H6" s="25" t="inlineStr">
        <is>
          <t>완료</t>
        </is>
      </c>
      <c r="I6" s="6" t="inlineStr"/>
    </row>
    <row r="7">
      <c r="A7" s="51" t="inlineStr">
        <is>
          <t>S01</t>
        </is>
      </c>
      <c r="B7" s="24" t="inlineStr">
        <is>
          <t>수집</t>
        </is>
      </c>
      <c r="C7" s="24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24" t="inlineStr">
        <is>
          <t>P1</t>
        </is>
      </c>
      <c r="H7" s="25" t="inlineStr">
        <is>
          <t>미확인</t>
        </is>
      </c>
      <c r="I7" s="6" t="inlineStr"/>
    </row>
    <row r="8">
      <c r="A8" s="51" t="inlineStr">
        <is>
          <t>S02</t>
        </is>
      </c>
      <c r="B8" s="24" t="inlineStr">
        <is>
          <t>파싱</t>
        </is>
      </c>
      <c r="C8" s="24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24" t="inlineStr">
        <is>
          <t>P1</t>
        </is>
      </c>
      <c r="H8" s="25" t="inlineStr">
        <is>
          <t>미확인</t>
        </is>
      </c>
      <c r="I8" s="6" t="inlineStr"/>
    </row>
    <row r="9">
      <c r="A9" s="51" t="inlineStr">
        <is>
          <t>S02</t>
        </is>
      </c>
      <c r="B9" s="24" t="inlineStr">
        <is>
          <t>파싱</t>
        </is>
      </c>
      <c r="C9" s="24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24" t="inlineStr">
        <is>
          <t>P1</t>
        </is>
      </c>
      <c r="H9" s="25" t="inlineStr">
        <is>
          <t>미확인</t>
        </is>
      </c>
      <c r="I9" s="6" t="inlineStr"/>
    </row>
    <row r="10">
      <c r="A10" s="51" t="inlineStr">
        <is>
          <t>S03</t>
        </is>
      </c>
      <c r="B10" s="24" t="inlineStr">
        <is>
          <t>청킹</t>
        </is>
      </c>
      <c r="C10" s="24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24" t="inlineStr">
        <is>
          <t>P0</t>
        </is>
      </c>
      <c r="H10" s="25" t="inlineStr">
        <is>
          <t>미확인</t>
        </is>
      </c>
      <c r="I10" s="6" t="inlineStr"/>
    </row>
    <row r="11">
      <c r="A11" s="51" t="inlineStr">
        <is>
          <t>S03</t>
        </is>
      </c>
      <c r="B11" s="24" t="inlineStr">
        <is>
          <t>청킹</t>
        </is>
      </c>
      <c r="C11" s="24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24" t="inlineStr">
        <is>
          <t>P0</t>
        </is>
      </c>
      <c r="H11" s="25" t="inlineStr">
        <is>
          <t>미확인</t>
        </is>
      </c>
      <c r="I11" s="6" t="inlineStr"/>
    </row>
    <row r="12">
      <c r="A12" s="51" t="inlineStr">
        <is>
          <t>S03</t>
        </is>
      </c>
      <c r="B12" s="24" t="inlineStr">
        <is>
          <t>청킹</t>
        </is>
      </c>
      <c r="C12" s="24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24" t="inlineStr">
        <is>
          <t>P0</t>
        </is>
      </c>
      <c r="H12" s="25" t="inlineStr">
        <is>
          <t>미확인</t>
        </is>
      </c>
      <c r="I12" s="6" t="inlineStr"/>
    </row>
    <row r="13">
      <c r="A13" s="51" t="inlineStr">
        <is>
          <t>S04</t>
        </is>
      </c>
      <c r="B13" s="24" t="inlineStr">
        <is>
          <t>임베딩</t>
        </is>
      </c>
      <c r="C13" s="24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24" t="inlineStr">
        <is>
          <t>P0</t>
        </is>
      </c>
      <c r="H13" s="25" t="inlineStr">
        <is>
          <t>미확인</t>
        </is>
      </c>
      <c r="I13" s="6" t="inlineStr"/>
    </row>
    <row r="14">
      <c r="A14" s="51" t="inlineStr">
        <is>
          <t>S04</t>
        </is>
      </c>
      <c r="B14" s="24" t="inlineStr">
        <is>
          <t>임베딩</t>
        </is>
      </c>
      <c r="C14" s="24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24" t="inlineStr">
        <is>
          <t>P0</t>
        </is>
      </c>
      <c r="H14" s="25" t="inlineStr">
        <is>
          <t>미확인</t>
        </is>
      </c>
      <c r="I14" s="6" t="inlineStr"/>
    </row>
    <row r="15">
      <c r="A15" s="51" t="inlineStr">
        <is>
          <t>S04</t>
        </is>
      </c>
      <c r="B15" s="24" t="inlineStr">
        <is>
          <t>임베딩</t>
        </is>
      </c>
      <c r="C15" s="24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24" t="inlineStr">
        <is>
          <t>P1</t>
        </is>
      </c>
      <c r="H15" s="25" t="inlineStr">
        <is>
          <t>미확인</t>
        </is>
      </c>
      <c r="I15" s="6" t="inlineStr"/>
    </row>
    <row r="16">
      <c r="A16" s="51" t="inlineStr">
        <is>
          <t>S05</t>
        </is>
      </c>
      <c r="B16" s="24" t="inlineStr">
        <is>
          <t>메타데이터</t>
        </is>
      </c>
      <c r="C16" s="24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24" t="inlineStr">
        <is>
          <t>P0</t>
        </is>
      </c>
      <c r="H16" s="25" t="inlineStr">
        <is>
          <t>미확인</t>
        </is>
      </c>
      <c r="I16" s="6" t="inlineStr"/>
    </row>
    <row r="17">
      <c r="A17" s="51" t="inlineStr">
        <is>
          <t>S05</t>
        </is>
      </c>
      <c r="B17" s="24" t="inlineStr">
        <is>
          <t>메타데이터</t>
        </is>
      </c>
      <c r="C17" s="24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24" t="inlineStr">
        <is>
          <t>P0</t>
        </is>
      </c>
      <c r="H17" s="25" t="inlineStr">
        <is>
          <t>미확인</t>
        </is>
      </c>
      <c r="I17" s="6" t="inlineStr"/>
    </row>
    <row r="18">
      <c r="A18" s="51" t="inlineStr">
        <is>
          <t>S05</t>
        </is>
      </c>
      <c r="B18" s="24" t="inlineStr">
        <is>
          <t>메타데이터</t>
        </is>
      </c>
      <c r="C18" s="24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24" t="inlineStr">
        <is>
          <t>P1</t>
        </is>
      </c>
      <c r="H18" s="25" t="inlineStr">
        <is>
          <t>미확인</t>
        </is>
      </c>
      <c r="I18" s="6" t="inlineStr"/>
    </row>
    <row r="19">
      <c r="A19" s="51" t="inlineStr">
        <is>
          <t>S06</t>
        </is>
      </c>
      <c r="B19" s="24" t="inlineStr">
        <is>
          <t>벡터 DB</t>
        </is>
      </c>
      <c r="C19" s="24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24" t="inlineStr">
        <is>
          <t>P0</t>
        </is>
      </c>
      <c r="H19" s="25" t="inlineStr">
        <is>
          <t>미확인</t>
        </is>
      </c>
      <c r="I19" s="6" t="inlineStr"/>
    </row>
    <row r="20">
      <c r="A20" s="51" t="inlineStr">
        <is>
          <t>S06</t>
        </is>
      </c>
      <c r="B20" s="24" t="inlineStr">
        <is>
          <t>벡터 DB</t>
        </is>
      </c>
      <c r="C20" s="24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24" t="inlineStr">
        <is>
          <t>P0</t>
        </is>
      </c>
      <c r="H20" s="25" t="inlineStr">
        <is>
          <t>미확인</t>
        </is>
      </c>
      <c r="I20" s="6" t="inlineStr"/>
    </row>
    <row r="21">
      <c r="A21" s="51" t="inlineStr">
        <is>
          <t>S06</t>
        </is>
      </c>
      <c r="B21" s="24" t="inlineStr">
        <is>
          <t>벡터 DB</t>
        </is>
      </c>
      <c r="C21" s="24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24" t="inlineStr">
        <is>
          <t>P1</t>
        </is>
      </c>
      <c r="H21" s="25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51" t="inlineStr">
        <is>
          <t>S07</t>
        </is>
      </c>
      <c r="B5" s="24" t="inlineStr">
        <is>
          <t>질의 입력</t>
        </is>
      </c>
      <c r="C5" s="24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24" t="inlineStr">
        <is>
          <t>P0</t>
        </is>
      </c>
      <c r="H5" s="25" t="inlineStr">
        <is>
          <t>확인중</t>
        </is>
      </c>
      <c r="I5" s="6" t="inlineStr"/>
    </row>
    <row r="6">
      <c r="A6" s="51" t="inlineStr">
        <is>
          <t>S07</t>
        </is>
      </c>
      <c r="B6" s="24" t="inlineStr">
        <is>
          <t>질의 입력</t>
        </is>
      </c>
      <c r="C6" s="24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24" t="inlineStr">
        <is>
          <t>P0</t>
        </is>
      </c>
      <c r="H6" s="25" t="inlineStr">
        <is>
          <t>미확인</t>
        </is>
      </c>
      <c r="I6" s="6" t="inlineStr"/>
    </row>
    <row r="7">
      <c r="A7" s="51" t="inlineStr">
        <is>
          <t>S08</t>
        </is>
      </c>
      <c r="B7" s="24" t="inlineStr">
        <is>
          <t>질의 분석 · 분해</t>
        </is>
      </c>
      <c r="C7" s="24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24" t="inlineStr">
        <is>
          <t>P0</t>
        </is>
      </c>
      <c r="H7" s="25" t="inlineStr">
        <is>
          <t>미확인</t>
        </is>
      </c>
      <c r="I7" s="6" t="inlineStr"/>
    </row>
    <row r="8">
      <c r="A8" s="51" t="inlineStr">
        <is>
          <t>S08</t>
        </is>
      </c>
      <c r="B8" s="24" t="inlineStr">
        <is>
          <t>질의 분석 · 분해</t>
        </is>
      </c>
      <c r="C8" s="24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24" t="inlineStr">
        <is>
          <t>P0</t>
        </is>
      </c>
      <c r="H8" s="25" t="inlineStr">
        <is>
          <t>미확인</t>
        </is>
      </c>
      <c r="I8" s="6" t="inlineStr"/>
    </row>
    <row r="9">
      <c r="A9" s="51" t="inlineStr">
        <is>
          <t>S08</t>
        </is>
      </c>
      <c r="B9" s="24" t="inlineStr">
        <is>
          <t>질의 분석 · 분해</t>
        </is>
      </c>
      <c r="C9" s="24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24" t="inlineStr">
        <is>
          <t>P1</t>
        </is>
      </c>
      <c r="H9" s="25" t="inlineStr">
        <is>
          <t>미확인</t>
        </is>
      </c>
      <c r="I9" s="6" t="inlineStr"/>
    </row>
    <row r="10">
      <c r="A10" s="51" t="inlineStr">
        <is>
          <t>S09</t>
        </is>
      </c>
      <c r="B10" s="24" t="inlineStr">
        <is>
          <t>BM25</t>
        </is>
      </c>
      <c r="C10" s="24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24" t="inlineStr">
        <is>
          <t>P0</t>
        </is>
      </c>
      <c r="H10" s="25" t="inlineStr">
        <is>
          <t>미확인</t>
        </is>
      </c>
      <c r="I10" s="6" t="inlineStr"/>
    </row>
    <row r="11">
      <c r="A11" s="51" t="inlineStr">
        <is>
          <t>S09</t>
        </is>
      </c>
      <c r="B11" s="24" t="inlineStr">
        <is>
          <t>BM25</t>
        </is>
      </c>
      <c r="C11" s="24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24" t="inlineStr">
        <is>
          <t>P0</t>
        </is>
      </c>
      <c r="H11" s="25" t="inlineStr">
        <is>
          <t>미확인</t>
        </is>
      </c>
      <c r="I11" s="6" t="inlineStr"/>
    </row>
    <row r="12">
      <c r="A12" s="51" t="inlineStr">
        <is>
          <t>S09</t>
        </is>
      </c>
      <c r="B12" s="24" t="inlineStr">
        <is>
          <t>BM25</t>
        </is>
      </c>
      <c r="C12" s="24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24" t="inlineStr">
        <is>
          <t>P1</t>
        </is>
      </c>
      <c r="H12" s="25" t="inlineStr">
        <is>
          <t>미확인</t>
        </is>
      </c>
      <c r="I12" s="6" t="inlineStr"/>
    </row>
    <row r="13">
      <c r="A13" s="51" t="inlineStr">
        <is>
          <t>S10</t>
        </is>
      </c>
      <c r="B13" s="24" t="inlineStr">
        <is>
          <t>시맨틱 검색</t>
        </is>
      </c>
      <c r="C13" s="24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24" t="inlineStr">
        <is>
          <t>P0</t>
        </is>
      </c>
      <c r="H13" s="25" t="inlineStr">
        <is>
          <t>미확인</t>
        </is>
      </c>
      <c r="I13" s="6" t="inlineStr"/>
    </row>
    <row r="14">
      <c r="A14" s="51" t="inlineStr">
        <is>
          <t>S10</t>
        </is>
      </c>
      <c r="B14" s="24" t="inlineStr">
        <is>
          <t>시맨틱 검색</t>
        </is>
      </c>
      <c r="C14" s="24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24" t="inlineStr">
        <is>
          <t>P1</t>
        </is>
      </c>
      <c r="H14" s="25" t="inlineStr">
        <is>
          <t>미확인</t>
        </is>
      </c>
      <c r="I14" s="6" t="inlineStr"/>
    </row>
    <row r="15">
      <c r="A15" s="51" t="inlineStr">
        <is>
          <t>S11</t>
        </is>
      </c>
      <c r="B15" s="24" t="inlineStr">
        <is>
          <t>결합 · 다양성</t>
        </is>
      </c>
      <c r="C15" s="24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24" t="inlineStr">
        <is>
          <t>P0</t>
        </is>
      </c>
      <c r="H15" s="25" t="inlineStr">
        <is>
          <t>미확인</t>
        </is>
      </c>
      <c r="I15" s="6" t="inlineStr"/>
    </row>
    <row r="16">
      <c r="A16" s="51" t="inlineStr">
        <is>
          <t>S11</t>
        </is>
      </c>
      <c r="B16" s="24" t="inlineStr">
        <is>
          <t>결합 · 다양성</t>
        </is>
      </c>
      <c r="C16" s="24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24" t="inlineStr">
        <is>
          <t>P1</t>
        </is>
      </c>
      <c r="H16" s="25" t="inlineStr">
        <is>
          <t>미확인</t>
        </is>
      </c>
      <c r="I16" s="6" t="inlineStr"/>
    </row>
    <row r="17">
      <c r="A17" s="51" t="inlineStr">
        <is>
          <t>S11</t>
        </is>
      </c>
      <c r="B17" s="24" t="inlineStr">
        <is>
          <t>결합 · 다양성</t>
        </is>
      </c>
      <c r="C17" s="24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24" t="inlineStr">
        <is>
          <t>P1</t>
        </is>
      </c>
      <c r="H17" s="25" t="inlineStr">
        <is>
          <t>미확인</t>
        </is>
      </c>
      <c r="I17" s="6" t="inlineStr"/>
    </row>
    <row r="18">
      <c r="A18" s="51" t="inlineStr">
        <is>
          <t>S12</t>
        </is>
      </c>
      <c r="B18" s="24" t="inlineStr">
        <is>
          <t>리랭크</t>
        </is>
      </c>
      <c r="C18" s="24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24" t="inlineStr">
        <is>
          <t>P0</t>
        </is>
      </c>
      <c r="H18" s="25" t="inlineStr">
        <is>
          <t>미확인</t>
        </is>
      </c>
      <c r="I18" s="6" t="inlineStr"/>
    </row>
    <row r="19">
      <c r="A19" s="51" t="inlineStr">
        <is>
          <t>S12</t>
        </is>
      </c>
      <c r="B19" s="24" t="inlineStr">
        <is>
          <t>리랭크</t>
        </is>
      </c>
      <c r="C19" s="24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24" t="inlineStr">
        <is>
          <t>P1</t>
        </is>
      </c>
      <c r="H19" s="25" t="inlineStr">
        <is>
          <t>미확인</t>
        </is>
      </c>
      <c r="I19" s="6" t="inlineStr"/>
    </row>
    <row r="20">
      <c r="A20" s="51" t="inlineStr">
        <is>
          <t>S13</t>
        </is>
      </c>
      <c r="B20" s="24" t="inlineStr">
        <is>
          <t>컨텍스트</t>
        </is>
      </c>
      <c r="C20" s="24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24" t="inlineStr">
        <is>
          <t>P0</t>
        </is>
      </c>
      <c r="H20" s="25" t="inlineStr">
        <is>
          <t>미확인</t>
        </is>
      </c>
      <c r="I20" s="6" t="inlineStr"/>
    </row>
    <row r="21">
      <c r="A21" s="51" t="inlineStr">
        <is>
          <t>S13</t>
        </is>
      </c>
      <c r="B21" s="24" t="inlineStr">
        <is>
          <t>컨텍스트</t>
        </is>
      </c>
      <c r="C21" s="24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24" t="inlineStr">
        <is>
          <t>P1</t>
        </is>
      </c>
      <c r="H21" s="25" t="inlineStr">
        <is>
          <t>미확인</t>
        </is>
      </c>
      <c r="I21" s="6" t="inlineStr"/>
    </row>
    <row r="22">
      <c r="A22" s="51" t="inlineStr">
        <is>
          <t>S14</t>
        </is>
      </c>
      <c r="B22" s="24" t="inlineStr">
        <is>
          <t>LLM 답변</t>
        </is>
      </c>
      <c r="C22" s="24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24" t="inlineStr">
        <is>
          <t>P0</t>
        </is>
      </c>
      <c r="H22" s="25" t="inlineStr">
        <is>
          <t>미확인</t>
        </is>
      </c>
      <c r="I22" s="6" t="inlineStr"/>
    </row>
    <row r="23">
      <c r="A23" s="51" t="inlineStr">
        <is>
          <t>S14</t>
        </is>
      </c>
      <c r="B23" s="24" t="inlineStr">
        <is>
          <t>LLM 답변</t>
        </is>
      </c>
      <c r="C23" s="24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24" t="inlineStr">
        <is>
          <t>P0</t>
        </is>
      </c>
      <c r="H23" s="25" t="inlineStr">
        <is>
          <t>미확인</t>
        </is>
      </c>
      <c r="I23" s="6" t="inlineStr"/>
    </row>
    <row r="24">
      <c r="A24" s="51" t="inlineStr">
        <is>
          <t>S14</t>
        </is>
      </c>
      <c r="B24" s="24" t="inlineStr">
        <is>
          <t>LLM 답변</t>
        </is>
      </c>
      <c r="C24" s="24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24" t="inlineStr">
        <is>
          <t>P1</t>
        </is>
      </c>
      <c r="H24" s="25" t="inlineStr">
        <is>
          <t>미확인</t>
        </is>
      </c>
      <c r="I24" s="6" t="inlineStr"/>
    </row>
    <row r="25">
      <c r="A25" s="51" t="inlineStr">
        <is>
          <t>S15</t>
        </is>
      </c>
      <c r="B25" s="24" t="inlineStr">
        <is>
          <t>평가</t>
        </is>
      </c>
      <c r="C25" s="24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24" t="inlineStr">
        <is>
          <t>P0</t>
        </is>
      </c>
      <c r="H25" s="25" t="inlineStr">
        <is>
          <t>미확인</t>
        </is>
      </c>
      <c r="I25" s="6" t="inlineStr"/>
    </row>
    <row r="26">
      <c r="A26" s="51" t="inlineStr">
        <is>
          <t>S15</t>
        </is>
      </c>
      <c r="B26" s="24" t="inlineStr">
        <is>
          <t>평가</t>
        </is>
      </c>
      <c r="C26" s="24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24" t="inlineStr">
        <is>
          <t>P0</t>
        </is>
      </c>
      <c r="H26" s="25" t="inlineStr">
        <is>
          <t>미확인</t>
        </is>
      </c>
      <c r="I26" s="6" t="inlineStr"/>
    </row>
    <row r="27">
      <c r="A27" s="51" t="inlineStr">
        <is>
          <t>S15</t>
        </is>
      </c>
      <c r="B27" s="24" t="inlineStr">
        <is>
          <t>평가</t>
        </is>
      </c>
      <c r="C27" s="24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24" t="inlineStr">
        <is>
          <t>P1</t>
        </is>
      </c>
      <c r="H27" s="25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51" t="inlineStr">
        <is>
          <t>S16</t>
        </is>
      </c>
      <c r="B5" s="24" t="inlineStr">
        <is>
          <t>센싱 축</t>
        </is>
      </c>
      <c r="C5" s="24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24" t="inlineStr">
        <is>
          <t>P0</t>
        </is>
      </c>
      <c r="H5" s="25" t="inlineStr">
        <is>
          <t>완료</t>
        </is>
      </c>
      <c r="I5" s="6" t="inlineStr"/>
    </row>
    <row r="6">
      <c r="A6" s="51" t="inlineStr">
        <is>
          <t>S16</t>
        </is>
      </c>
      <c r="B6" s="24" t="inlineStr">
        <is>
          <t>센싱 축</t>
        </is>
      </c>
      <c r="C6" s="24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24" t="inlineStr">
        <is>
          <t>P0</t>
        </is>
      </c>
      <c r="H6" s="25" t="inlineStr">
        <is>
          <t>미확인</t>
        </is>
      </c>
      <c r="I6" s="6" t="inlineStr"/>
    </row>
    <row r="7">
      <c r="A7" s="51" t="inlineStr">
        <is>
          <t>S17</t>
        </is>
      </c>
      <c r="B7" s="24" t="inlineStr">
        <is>
          <t>상시 질의</t>
        </is>
      </c>
      <c r="C7" s="24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24" t="inlineStr">
        <is>
          <t>P0</t>
        </is>
      </c>
      <c r="H7" s="25" t="inlineStr">
        <is>
          <t>미확인</t>
        </is>
      </c>
      <c r="I7" s="6" t="inlineStr"/>
    </row>
    <row r="8">
      <c r="A8" s="51" t="inlineStr">
        <is>
          <t>S17</t>
        </is>
      </c>
      <c r="B8" s="24" t="inlineStr">
        <is>
          <t>상시 질의</t>
        </is>
      </c>
      <c r="C8" s="24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24" t="inlineStr">
        <is>
          <t>P0</t>
        </is>
      </c>
      <c r="H8" s="25" t="inlineStr">
        <is>
          <t>미확인</t>
        </is>
      </c>
      <c r="I8" s="6" t="inlineStr"/>
    </row>
    <row r="9">
      <c r="A9" s="51" t="inlineStr">
        <is>
          <t>S18</t>
        </is>
      </c>
      <c r="B9" s="24" t="inlineStr">
        <is>
          <t>검색 · 수집</t>
        </is>
      </c>
      <c r="C9" s="24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24" t="inlineStr">
        <is>
          <t>P0</t>
        </is>
      </c>
      <c r="H9" s="25" t="inlineStr">
        <is>
          <t>미확인</t>
        </is>
      </c>
      <c r="I9" s="6" t="inlineStr"/>
    </row>
    <row r="10">
      <c r="A10" s="51" t="inlineStr">
        <is>
          <t>S18</t>
        </is>
      </c>
      <c r="B10" s="24" t="inlineStr">
        <is>
          <t>검색 · 수집</t>
        </is>
      </c>
      <c r="C10" s="24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24" t="inlineStr">
        <is>
          <t>P0</t>
        </is>
      </c>
      <c r="H10" s="25" t="inlineStr">
        <is>
          <t>미확인</t>
        </is>
      </c>
      <c r="I10" s="6" t="inlineStr"/>
    </row>
    <row r="11">
      <c r="A11" s="51" t="inlineStr">
        <is>
          <t>S19</t>
        </is>
      </c>
      <c r="B11" s="24" t="inlineStr">
        <is>
          <t>변화 감지</t>
        </is>
      </c>
      <c r="C11" s="24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24" t="inlineStr">
        <is>
          <t>P0</t>
        </is>
      </c>
      <c r="H11" s="25" t="inlineStr">
        <is>
          <t>미확인</t>
        </is>
      </c>
      <c r="I11" s="6" t="inlineStr"/>
    </row>
    <row r="12">
      <c r="A12" s="51" t="inlineStr">
        <is>
          <t>S19</t>
        </is>
      </c>
      <c r="B12" s="24" t="inlineStr">
        <is>
          <t>변화 감지</t>
        </is>
      </c>
      <c r="C12" s="24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24" t="inlineStr">
        <is>
          <t>P1</t>
        </is>
      </c>
      <c r="H12" s="25" t="inlineStr">
        <is>
          <t>미확인</t>
        </is>
      </c>
      <c r="I12" s="6" t="inlineStr"/>
    </row>
    <row r="13">
      <c r="A13" s="51" t="inlineStr">
        <is>
          <t>S19</t>
        </is>
      </c>
      <c r="B13" s="24" t="inlineStr">
        <is>
          <t>변화 감지</t>
        </is>
      </c>
      <c r="C13" s="24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24" t="inlineStr">
        <is>
          <t>P0</t>
        </is>
      </c>
      <c r="H13" s="25" t="inlineStr">
        <is>
          <t>미확인</t>
        </is>
      </c>
      <c r="I13" s="6" t="inlineStr"/>
    </row>
    <row r="14">
      <c r="A14" s="51" t="inlineStr">
        <is>
          <t>S20</t>
        </is>
      </c>
      <c r="B14" s="24" t="inlineStr">
        <is>
          <t>요약 · 알림</t>
        </is>
      </c>
      <c r="C14" s="24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24" t="inlineStr">
        <is>
          <t>P0</t>
        </is>
      </c>
      <c r="H14" s="25" t="inlineStr">
        <is>
          <t>미확인</t>
        </is>
      </c>
      <c r="I14" s="6" t="inlineStr"/>
    </row>
    <row r="15">
      <c r="A15" s="51" t="inlineStr">
        <is>
          <t>S20</t>
        </is>
      </c>
      <c r="B15" s="24" t="inlineStr">
        <is>
          <t>요약 · 알림</t>
        </is>
      </c>
      <c r="C15" s="24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24" t="inlineStr">
        <is>
          <t>P1</t>
        </is>
      </c>
      <c r="H15" s="25" t="inlineStr">
        <is>
          <t>미확인</t>
        </is>
      </c>
      <c r="I15" s="6" t="inlineStr"/>
    </row>
    <row r="16">
      <c r="A16" s="51" t="inlineStr">
        <is>
          <t>S21</t>
        </is>
      </c>
      <c r="B16" s="24" t="inlineStr">
        <is>
          <t>백테스트</t>
        </is>
      </c>
      <c r="C16" s="24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24" t="inlineStr">
        <is>
          <t>P0</t>
        </is>
      </c>
      <c r="H16" s="25" t="inlineStr">
        <is>
          <t>미확인</t>
        </is>
      </c>
      <c r="I16" s="6" t="inlineStr"/>
    </row>
    <row r="17">
      <c r="A17" s="51" t="inlineStr">
        <is>
          <t>S21</t>
        </is>
      </c>
      <c r="B17" s="24" t="inlineStr">
        <is>
          <t>백테스트</t>
        </is>
      </c>
      <c r="C17" s="24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24" t="inlineStr">
        <is>
          <t>P0</t>
        </is>
      </c>
      <c r="H17" s="25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51" t="inlineStr">
        <is>
          <t>S22</t>
        </is>
      </c>
      <c r="B5" s="24" t="inlineStr">
        <is>
          <t>정형 자산 카탈로그</t>
        </is>
      </c>
      <c r="C5" s="24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24" t="inlineStr">
        <is>
          <t>P0</t>
        </is>
      </c>
      <c r="H5" s="25" t="inlineStr">
        <is>
          <t>미확인</t>
        </is>
      </c>
      <c r="I5" s="6" t="inlineStr"/>
    </row>
    <row r="6">
      <c r="A6" s="51" t="inlineStr">
        <is>
          <t>S22</t>
        </is>
      </c>
      <c r="B6" s="24" t="inlineStr">
        <is>
          <t>정형 자산 카탈로그</t>
        </is>
      </c>
      <c r="C6" s="24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24" t="inlineStr">
        <is>
          <t>P0</t>
        </is>
      </c>
      <c r="H6" s="25" t="inlineStr">
        <is>
          <t>미확인</t>
        </is>
      </c>
      <c r="I6" s="6" t="inlineStr"/>
    </row>
    <row r="7">
      <c r="A7" s="51" t="inlineStr">
        <is>
          <t>S22</t>
        </is>
      </c>
      <c r="B7" s="24" t="inlineStr">
        <is>
          <t>정형 자산 카탈로그</t>
        </is>
      </c>
      <c r="C7" s="24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24" t="inlineStr">
        <is>
          <t>P0</t>
        </is>
      </c>
      <c r="H7" s="25" t="inlineStr">
        <is>
          <t>미확인</t>
        </is>
      </c>
      <c r="I7" s="6" t="inlineStr"/>
    </row>
    <row r="8">
      <c r="A8" s="51" t="inlineStr">
        <is>
          <t>S22</t>
        </is>
      </c>
      <c r="B8" s="24" t="inlineStr">
        <is>
          <t>정형 자산 카탈로그</t>
        </is>
      </c>
      <c r="C8" s="24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24" t="inlineStr">
        <is>
          <t>P1</t>
        </is>
      </c>
      <c r="H8" s="25" t="inlineStr">
        <is>
          <t>미확인</t>
        </is>
      </c>
      <c r="I8" s="6" t="inlineStr"/>
    </row>
    <row r="9">
      <c r="A9" s="51" t="inlineStr">
        <is>
          <t>S23</t>
        </is>
      </c>
      <c r="B9" s="24" t="inlineStr">
        <is>
          <t>시맨틱 뷰 · 허용목록</t>
        </is>
      </c>
      <c r="C9" s="24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24" t="inlineStr">
        <is>
          <t>P0</t>
        </is>
      </c>
      <c r="H9" s="25" t="inlineStr">
        <is>
          <t>미확인</t>
        </is>
      </c>
      <c r="I9" s="6" t="inlineStr"/>
    </row>
    <row r="10">
      <c r="A10" s="51" t="inlineStr">
        <is>
          <t>S23</t>
        </is>
      </c>
      <c r="B10" s="24" t="inlineStr">
        <is>
          <t>시맨틱 뷰 · 허용목록</t>
        </is>
      </c>
      <c r="C10" s="24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24" t="inlineStr">
        <is>
          <t>P0</t>
        </is>
      </c>
      <c r="H10" s="25" t="inlineStr">
        <is>
          <t>미확인</t>
        </is>
      </c>
      <c r="I10" s="6" t="inlineStr"/>
    </row>
    <row r="11">
      <c r="A11" s="51" t="inlineStr">
        <is>
          <t>S23</t>
        </is>
      </c>
      <c r="B11" s="24" t="inlineStr">
        <is>
          <t>시맨틱 뷰 · 허용목록</t>
        </is>
      </c>
      <c r="C11" s="24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24" t="inlineStr">
        <is>
          <t>P1</t>
        </is>
      </c>
      <c r="H11" s="25" t="inlineStr">
        <is>
          <t>미확인</t>
        </is>
      </c>
      <c r="I11" s="6" t="inlineStr"/>
    </row>
    <row r="12">
      <c r="A12" s="51" t="inlineStr">
        <is>
          <t>S23</t>
        </is>
      </c>
      <c r="B12" s="24" t="inlineStr">
        <is>
          <t>시맨틱 뷰 · 허용목록</t>
        </is>
      </c>
      <c r="C12" s="24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24" t="inlineStr">
        <is>
          <t>P1</t>
        </is>
      </c>
      <c r="H12" s="25" t="inlineStr">
        <is>
          <t>미확인</t>
        </is>
      </c>
      <c r="I12" s="6" t="inlineStr"/>
    </row>
    <row r="13">
      <c r="A13" s="51" t="inlineStr">
        <is>
          <t>S24</t>
        </is>
      </c>
      <c r="B13" s="24" t="inlineStr">
        <is>
          <t>질의 라우팅</t>
        </is>
      </c>
      <c r="C13" s="24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24" t="inlineStr">
        <is>
          <t>P0</t>
        </is>
      </c>
      <c r="H13" s="25" t="inlineStr">
        <is>
          <t>미확인</t>
        </is>
      </c>
      <c r="I13" s="6" t="inlineStr"/>
    </row>
    <row r="14">
      <c r="A14" s="51" t="inlineStr">
        <is>
          <t>S24</t>
        </is>
      </c>
      <c r="B14" s="24" t="inlineStr">
        <is>
          <t>질의 라우팅</t>
        </is>
      </c>
      <c r="C14" s="24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24" t="inlineStr">
        <is>
          <t>P0</t>
        </is>
      </c>
      <c r="H14" s="25" t="inlineStr">
        <is>
          <t>미확인</t>
        </is>
      </c>
      <c r="I14" s="6" t="inlineStr"/>
    </row>
    <row r="15">
      <c r="A15" s="51" t="inlineStr">
        <is>
          <t>S24</t>
        </is>
      </c>
      <c r="B15" s="24" t="inlineStr">
        <is>
          <t>질의 라우팅</t>
        </is>
      </c>
      <c r="C15" s="24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24" t="inlineStr">
        <is>
          <t>P1</t>
        </is>
      </c>
      <c r="H15" s="25" t="inlineStr">
        <is>
          <t>미확인</t>
        </is>
      </c>
      <c r="I15" s="6" t="inlineStr"/>
    </row>
    <row r="16">
      <c r="A16" s="51" t="inlineStr">
        <is>
          <t>S24</t>
        </is>
      </c>
      <c r="B16" s="24" t="inlineStr">
        <is>
          <t>질의 라우팅</t>
        </is>
      </c>
      <c r="C16" s="24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24" t="inlineStr">
        <is>
          <t>P1</t>
        </is>
      </c>
      <c r="H16" s="25" t="inlineStr">
        <is>
          <t>미확인</t>
        </is>
      </c>
      <c r="I16" s="6" t="inlineStr"/>
    </row>
    <row r="17">
      <c r="A17" s="51" t="inlineStr">
        <is>
          <t>S25</t>
        </is>
      </c>
      <c r="B17" s="24" t="inlineStr">
        <is>
          <t>SQL 생성 · 검증</t>
        </is>
      </c>
      <c r="C17" s="24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24" t="inlineStr">
        <is>
          <t>P0</t>
        </is>
      </c>
      <c r="H17" s="25" t="inlineStr">
        <is>
          <t>미확인</t>
        </is>
      </c>
      <c r="I17" s="6" t="inlineStr"/>
    </row>
    <row r="18">
      <c r="A18" s="51" t="inlineStr">
        <is>
          <t>S25</t>
        </is>
      </c>
      <c r="B18" s="24" t="inlineStr">
        <is>
          <t>SQL 생성 · 검증</t>
        </is>
      </c>
      <c r="C18" s="24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24" t="inlineStr">
        <is>
          <t>P0</t>
        </is>
      </c>
      <c r="H18" s="25" t="inlineStr">
        <is>
          <t>미확인</t>
        </is>
      </c>
      <c r="I18" s="6" t="inlineStr"/>
    </row>
    <row r="19">
      <c r="A19" s="51" t="inlineStr">
        <is>
          <t>S25</t>
        </is>
      </c>
      <c r="B19" s="24" t="inlineStr">
        <is>
          <t>SQL 생성 · 검증</t>
        </is>
      </c>
      <c r="C19" s="24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24" t="inlineStr">
        <is>
          <t>P0</t>
        </is>
      </c>
      <c r="H19" s="25" t="inlineStr">
        <is>
          <t>미확인</t>
        </is>
      </c>
      <c r="I19" s="6" t="inlineStr"/>
    </row>
    <row r="20">
      <c r="A20" s="51" t="inlineStr">
        <is>
          <t>S25</t>
        </is>
      </c>
      <c r="B20" s="24" t="inlineStr">
        <is>
          <t>SQL 생성 · 검증</t>
        </is>
      </c>
      <c r="C20" s="24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24" t="inlineStr">
        <is>
          <t>P1</t>
        </is>
      </c>
      <c r="H20" s="25" t="inlineStr">
        <is>
          <t>미확인</t>
        </is>
      </c>
      <c r="I20" s="6" t="inlineStr"/>
    </row>
    <row r="21">
      <c r="A21" s="51" t="inlineStr">
        <is>
          <t>S25</t>
        </is>
      </c>
      <c r="B21" s="24" t="inlineStr">
        <is>
          <t>SQL 생성 · 검증</t>
        </is>
      </c>
      <c r="C21" s="24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24" t="inlineStr">
        <is>
          <t>P0</t>
        </is>
      </c>
      <c r="H21" s="25" t="inlineStr">
        <is>
          <t>미확인</t>
        </is>
      </c>
      <c r="I21" s="6" t="inlineStr"/>
    </row>
    <row r="22">
      <c r="A22" s="51" t="inlineStr">
        <is>
          <t>S26</t>
        </is>
      </c>
      <c r="B22" s="24" t="inlineStr">
        <is>
          <t>정형 × 비정형 결합</t>
        </is>
      </c>
      <c r="C22" s="24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24" t="inlineStr">
        <is>
          <t>P0</t>
        </is>
      </c>
      <c r="H22" s="25" t="inlineStr">
        <is>
          <t>미확인</t>
        </is>
      </c>
      <c r="I22" s="6" t="inlineStr"/>
    </row>
    <row r="23">
      <c r="A23" s="51" t="inlineStr">
        <is>
          <t>S26</t>
        </is>
      </c>
      <c r="B23" s="24" t="inlineStr">
        <is>
          <t>정형 × 비정형 결합</t>
        </is>
      </c>
      <c r="C23" s="24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24" t="inlineStr">
        <is>
          <t>P0</t>
        </is>
      </c>
      <c r="H23" s="25" t="inlineStr">
        <is>
          <t>미확인</t>
        </is>
      </c>
      <c r="I23" s="6" t="inlineStr"/>
    </row>
    <row r="24">
      <c r="A24" s="51" t="inlineStr">
        <is>
          <t>S26</t>
        </is>
      </c>
      <c r="B24" s="24" t="inlineStr">
        <is>
          <t>정형 × 비정형 결합</t>
        </is>
      </c>
      <c r="C24" s="24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24" t="inlineStr">
        <is>
          <t>P1</t>
        </is>
      </c>
      <c r="H24" s="25" t="inlineStr">
        <is>
          <t>미확인</t>
        </is>
      </c>
      <c r="I24" s="6" t="inlineStr"/>
    </row>
    <row r="25">
      <c r="A25" s="51" t="inlineStr">
        <is>
          <t>S26</t>
        </is>
      </c>
      <c r="B25" s="24" t="inlineStr">
        <is>
          <t>정형 × 비정형 결합</t>
        </is>
      </c>
      <c r="C25" s="24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24" t="inlineStr">
        <is>
          <t>P2</t>
        </is>
      </c>
      <c r="H25" s="25" t="inlineStr">
        <is>
          <t>미확인</t>
        </is>
      </c>
      <c r="I25" s="6" t="inlineStr"/>
    </row>
    <row r="26">
      <c r="A26" s="51" t="inlineStr">
        <is>
          <t>S27</t>
        </is>
      </c>
      <c r="B26" s="24" t="inlineStr">
        <is>
          <t>수치 정합성 · 신뢰</t>
        </is>
      </c>
      <c r="C26" s="24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24" t="inlineStr">
        <is>
          <t>P0</t>
        </is>
      </c>
      <c r="H26" s="25" t="inlineStr">
        <is>
          <t>미확인</t>
        </is>
      </c>
      <c r="I26" s="6" t="inlineStr"/>
    </row>
    <row r="27">
      <c r="A27" s="51" t="inlineStr">
        <is>
          <t>S27</t>
        </is>
      </c>
      <c r="B27" s="24" t="inlineStr">
        <is>
          <t>수치 정합성 · 신뢰</t>
        </is>
      </c>
      <c r="C27" s="24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24" t="inlineStr">
        <is>
          <t>P0</t>
        </is>
      </c>
      <c r="H27" s="25" t="inlineStr">
        <is>
          <t>미확인</t>
        </is>
      </c>
      <c r="I27" s="6" t="inlineStr"/>
    </row>
    <row r="28">
      <c r="A28" s="51" t="inlineStr">
        <is>
          <t>S27</t>
        </is>
      </c>
      <c r="B28" s="24" t="inlineStr">
        <is>
          <t>수치 정합성 · 신뢰</t>
        </is>
      </c>
      <c r="C28" s="24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24" t="inlineStr">
        <is>
          <t>P1</t>
        </is>
      </c>
      <c r="H28" s="25" t="inlineStr">
        <is>
          <t>미확인</t>
        </is>
      </c>
      <c r="I28" s="6" t="inlineStr"/>
    </row>
    <row r="29">
      <c r="A29" s="51" t="inlineStr">
        <is>
          <t>S27</t>
        </is>
      </c>
      <c r="B29" s="24" t="inlineStr">
        <is>
          <t>수치 정합성 · 신뢰</t>
        </is>
      </c>
      <c r="C29" s="24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24" t="inlineStr">
        <is>
          <t>P2</t>
        </is>
      </c>
      <c r="H29" s="25" t="inlineStr">
        <is>
          <t>미확인</t>
        </is>
      </c>
      <c r="I29" s="6" t="inlineStr"/>
    </row>
    <row r="30">
      <c r="A30" s="51" t="inlineStr">
        <is>
          <t>S28</t>
        </is>
      </c>
      <c r="B30" s="24" t="inlineStr">
        <is>
          <t>권한 · 보안</t>
        </is>
      </c>
      <c r="C30" s="24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24" t="inlineStr">
        <is>
          <t>P0</t>
        </is>
      </c>
      <c r="H30" s="25" t="inlineStr">
        <is>
          <t>미확인</t>
        </is>
      </c>
      <c r="I30" s="6" t="inlineStr"/>
    </row>
    <row r="31">
      <c r="A31" s="51" t="inlineStr">
        <is>
          <t>S28</t>
        </is>
      </c>
      <c r="B31" s="24" t="inlineStr">
        <is>
          <t>권한 · 보안</t>
        </is>
      </c>
      <c r="C31" s="24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24" t="inlineStr">
        <is>
          <t>P0</t>
        </is>
      </c>
      <c r="H31" s="25" t="inlineStr">
        <is>
          <t>미확인</t>
        </is>
      </c>
      <c r="I31" s="6" t="inlineStr"/>
    </row>
    <row r="32">
      <c r="A32" s="51" t="inlineStr">
        <is>
          <t>S28</t>
        </is>
      </c>
      <c r="B32" s="24" t="inlineStr">
        <is>
          <t>권한 · 보안</t>
        </is>
      </c>
      <c r="C32" s="24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24" t="inlineStr">
        <is>
          <t>P1</t>
        </is>
      </c>
      <c r="H32" s="25" t="inlineStr">
        <is>
          <t>미확인</t>
        </is>
      </c>
      <c r="I32" s="6" t="inlineStr"/>
    </row>
    <row r="33">
      <c r="A33" s="51" t="inlineStr">
        <is>
          <t>S28</t>
        </is>
      </c>
      <c r="B33" s="24" t="inlineStr">
        <is>
          <t>권한 · 보안</t>
        </is>
      </c>
      <c r="C33" s="24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24" t="inlineStr">
        <is>
          <t>P0</t>
        </is>
      </c>
      <c r="H33" s="25" t="inlineStr">
        <is>
          <t>미확인</t>
        </is>
      </c>
      <c r="I33" s="6" t="inlineStr"/>
    </row>
    <row r="34">
      <c r="A34" s="51" t="inlineStr">
        <is>
          <t>S29</t>
        </is>
      </c>
      <c r="B34" s="24" t="inlineStr">
        <is>
          <t>평가 · 운영</t>
        </is>
      </c>
      <c r="C34" s="24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24" t="inlineStr">
        <is>
          <t>P0</t>
        </is>
      </c>
      <c r="H34" s="25" t="inlineStr">
        <is>
          <t>미확인</t>
        </is>
      </c>
      <c r="I34" s="6" t="inlineStr"/>
    </row>
    <row r="35">
      <c r="A35" s="51" t="inlineStr">
        <is>
          <t>S29</t>
        </is>
      </c>
      <c r="B35" s="24" t="inlineStr">
        <is>
          <t>평가 · 운영</t>
        </is>
      </c>
      <c r="C35" s="24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24" t="inlineStr">
        <is>
          <t>P0</t>
        </is>
      </c>
      <c r="H35" s="25" t="inlineStr">
        <is>
          <t>미확인</t>
        </is>
      </c>
      <c r="I35" s="6" t="inlineStr"/>
    </row>
    <row r="36">
      <c r="A36" s="51" t="inlineStr">
        <is>
          <t>S29</t>
        </is>
      </c>
      <c r="B36" s="24" t="inlineStr">
        <is>
          <t>평가 · 운영</t>
        </is>
      </c>
      <c r="C36" s="24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24" t="inlineStr">
        <is>
          <t>P1</t>
        </is>
      </c>
      <c r="H36" s="25" t="inlineStr">
        <is>
          <t>미확인</t>
        </is>
      </c>
      <c r="I36" s="6" t="inlineStr"/>
    </row>
    <row r="37">
      <c r="A37" s="51" t="inlineStr">
        <is>
          <t>S29</t>
        </is>
      </c>
      <c r="B37" s="24" t="inlineStr">
        <is>
          <t>평가 · 운영</t>
        </is>
      </c>
      <c r="C37" s="24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24" t="inlineStr">
        <is>
          <t>P1</t>
        </is>
      </c>
      <c r="H37" s="25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질의 유형별 패턴 A~D 중 1개 적용 · 범례: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43" t="inlineStr">
        <is>
          <t>질문
사용자 입력</t>
        </is>
      </c>
      <c r="B5" s="44" t="inlineStr">
        <is>
          <t>→</t>
        </is>
      </c>
      <c r="C5" s="50" t="inlineStr">
        <is>
          <t>질의 분석
기간 · 엔티티 추출</t>
        </is>
      </c>
      <c r="D5" s="44" t="inlineStr">
        <is>
          <t>→</t>
        </is>
      </c>
      <c r="E5" s="45" t="inlineStr">
        <is>
          <t>라우팅
4갈래 분류</t>
        </is>
      </c>
      <c r="F5" s="44" t="inlineStr">
        <is>
          <t>→</t>
        </is>
      </c>
      <c r="G5" s="45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수치: DB / 맥락: 문서 · 단일 답변으로 통합</t>
        </is>
      </c>
    </row>
    <row r="8" ht="56" customHeight="1">
      <c r="A8" s="43" t="inlineStr">
        <is>
          <t>혼합 질문
수치부 + 설명부</t>
        </is>
      </c>
      <c r="B8" s="44" t="inlineStr">
        <is>
          <t>→</t>
        </is>
      </c>
      <c r="C8" s="45" t="inlineStr">
        <is>
          <t>▸ SQL 경로 · 뷰 조회 → 표
▸ RAG 경로 · 하이브리드 검색</t>
        </is>
      </c>
      <c r="D8" s="44" t="inlineStr">
        <is>
          <t>→</t>
        </is>
      </c>
      <c r="E8" s="50" t="inlineStr">
        <is>
          <t>컨텍스트 합치기
표 + 청크 + 출처 라벨</t>
        </is>
      </c>
      <c r="F8" s="44" t="inlineStr">
        <is>
          <t>→</t>
        </is>
      </c>
      <c r="G8" s="47" t="inlineStr">
        <is>
          <t>LLM 답변
수치 출처 + 문서 인용</t>
        </is>
      </c>
    </row>
    <row r="9" ht="83" customHeight="1">
      <c r="A9" s="48" t="inlineStr">
        <is>
          <t>출력 예시</t>
        </is>
      </c>
      <c r="B9" s="49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 기재 수치를 DB로 대조 검증 · 인용 오류 · 구버전 자료 선별</t>
        </is>
      </c>
    </row>
    <row r="12" ht="40" customHeight="1">
      <c r="A12" s="43" t="inlineStr">
        <is>
          <t>질문
문서 기반</t>
        </is>
      </c>
      <c r="B12" s="44" t="inlineStr">
        <is>
          <t>→</t>
        </is>
      </c>
      <c r="C12" s="50" t="inlineStr">
        <is>
          <t>RAG 검색
근거 문서</t>
        </is>
      </c>
      <c r="D12" s="44" t="inlineStr">
        <is>
          <t>→</t>
        </is>
      </c>
      <c r="E12" s="45" t="inlineStr">
        <is>
          <t>수치 · 엔티티 추출
LLM</t>
        </is>
      </c>
      <c r="F12" s="44" t="inlineStr">
        <is>
          <t>→</t>
        </is>
      </c>
      <c r="G12" s="45" t="inlineStr">
        <is>
          <t>SQL 검증 조회
같은 조건으로</t>
        </is>
      </c>
      <c r="H12" s="44" t="inlineStr">
        <is>
          <t>→</t>
        </is>
      </c>
      <c r="I12" s="47" t="inlineStr">
        <is>
          <t>일치 여부 표시
일치 / 차이 / 미확인</t>
        </is>
      </c>
    </row>
    <row r="13" ht="38" customHeight="1">
      <c r="A13" s="48" t="inlineStr">
        <is>
          <t>출력 예시</t>
        </is>
      </c>
      <c r="B13" s="49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유형 — 추이: DB 집계 / 원인: 변화 시점 근거 문서 검색 후 부착</t>
        </is>
      </c>
    </row>
    <row r="16" ht="40" customHeight="1">
      <c r="A16" s="43" t="inlineStr">
        <is>
          <t>수치 질문
추이 · 변화</t>
        </is>
      </c>
      <c r="B16" s="44" t="inlineStr">
        <is>
          <t>→</t>
        </is>
      </c>
      <c r="C16" s="45" t="inlineStr">
        <is>
          <t>SQL
기간별 집계</t>
        </is>
      </c>
      <c r="D16" s="44" t="inlineStr">
        <is>
          <t>→</t>
        </is>
      </c>
      <c r="E16" s="45" t="inlineStr">
        <is>
          <t>변화 구간 탐지
급증 · 급감 시점</t>
        </is>
      </c>
      <c r="F16" s="44" t="inlineStr">
        <is>
          <t>→</t>
        </is>
      </c>
      <c r="G16" s="50" t="inlineStr">
        <is>
          <t>그 기간 문서 검색
RAG + 기간 필터</t>
        </is>
      </c>
      <c r="H16" s="44" t="inlineStr">
        <is>
          <t>→</t>
        </is>
      </c>
      <c r="I16" s="47" t="inlineStr">
        <is>
          <t>요약
수치 + 원인 후보</t>
        </is>
      </c>
    </row>
    <row r="17" ht="38" customHeight="1">
      <c r="A17" s="48" t="inlineStr">
        <is>
          <t>출력 예시</t>
        </is>
      </c>
      <c r="B17" s="49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 · 내부 지표(DB) 동일 축 교차 비교 — 외부 단독 변동 / 내부 동반 여부 구분</t>
        </is>
      </c>
    </row>
    <row r="20" ht="56" customHeight="1">
      <c r="A20" s="43" t="inlineStr">
        <is>
          <t>센싱 축 · 신호
S16 정의</t>
        </is>
      </c>
      <c r="B20" s="44" t="inlineStr">
        <is>
          <t>→</t>
        </is>
      </c>
      <c r="C20" s="45" t="inlineStr">
        <is>
          <t>▸ 외부 · 뉴스 언급량 · 논조
▸ 내부 · DB 지표 추이</t>
        </is>
      </c>
      <c r="D20" s="44" t="inlineStr">
        <is>
          <t>→</t>
        </is>
      </c>
      <c r="E20" s="45" t="inlineStr">
        <is>
          <t>교차 비교
동행 · 선행 · 괴리</t>
        </is>
      </c>
      <c r="F20" s="44" t="inlineStr">
        <is>
          <t>→</t>
        </is>
      </c>
      <c r="G20" s="47" t="inlineStr">
        <is>
          <t>알림 · 리포트
축 점수 + 근거</t>
        </is>
      </c>
    </row>
    <row r="21" ht="23" customHeight="1">
      <c r="A21" s="48" t="inlineStr">
        <is>
          <t>출력 예시</t>
        </is>
      </c>
      <c r="B21" s="49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36" t="n"/>
      <c r="C24" s="3" t="inlineStr">
        <is>
          <t>Phase 3에서</t>
        </is>
      </c>
      <c r="D24" s="36" t="n"/>
      <c r="E24" s="3" t="inlineStr">
        <is>
          <t>무엇이 달라지나</t>
        </is>
      </c>
      <c r="F24" s="37" t="n"/>
      <c r="G24" s="37" t="n"/>
      <c r="H24" s="37" t="n"/>
      <c r="I24" s="37" t="n"/>
      <c r="J24" s="37" t="n"/>
      <c r="K24" s="37" t="n"/>
      <c r="L24" s="36" t="n"/>
    </row>
    <row r="25" ht="30" customHeight="1">
      <c r="A25" s="4" t="inlineStr">
        <is>
          <t>S08 질의 분석 · 분해</t>
        </is>
      </c>
      <c r="B25" s="36" t="n"/>
      <c r="C25" s="5" t="inlineStr">
        <is>
          <t>S24 라우팅으로 확장</t>
        </is>
      </c>
      <c r="D25" s="36" t="n"/>
      <c r="E25" s="5" t="inlineStr">
        <is>
          <t>기간 · 엔티티 추출 결과를 라우팅 판단과 SQL WHERE 절에 함께 사용</t>
        </is>
      </c>
      <c r="F25" s="37" t="n"/>
      <c r="G25" s="37" t="n"/>
      <c r="H25" s="37" t="n"/>
      <c r="I25" s="37" t="n"/>
      <c r="J25" s="37" t="n"/>
      <c r="K25" s="37" t="n"/>
      <c r="L25" s="36" t="n"/>
    </row>
    <row r="26" ht="30" customHeight="1">
      <c r="A26" s="4" t="inlineStr">
        <is>
          <t>S13 컨텍스트 구성</t>
        </is>
      </c>
      <c r="B26" s="36" t="n"/>
      <c r="C26" s="5" t="inlineStr">
        <is>
          <t>S26 결합</t>
        </is>
      </c>
      <c r="D26" s="36" t="n"/>
      <c r="E26" s="5" t="inlineStr">
        <is>
          <t>청크만이 아니라 표(Markdown)와 쿼리 출처 라벨도 컨텍스트에 포함</t>
        </is>
      </c>
      <c r="F26" s="37" t="n"/>
      <c r="G26" s="37" t="n"/>
      <c r="H26" s="37" t="n"/>
      <c r="I26" s="37" t="n"/>
      <c r="J26" s="37" t="n"/>
      <c r="K26" s="37" t="n"/>
      <c r="L26" s="36" t="n"/>
    </row>
    <row r="27" ht="30" customHeight="1">
      <c r="A27" s="4" t="inlineStr">
        <is>
          <t>S14 LLM 답변</t>
        </is>
      </c>
      <c r="B27" s="36" t="n"/>
      <c r="C27" s="5" t="inlineStr">
        <is>
          <t>S27 정합성</t>
        </is>
      </c>
      <c r="D27" s="36" t="n"/>
      <c r="E27" s="5" t="inlineStr">
        <is>
          <t>문장별 인용 규칙에 "수치는 DB 출처 표기"를 추가</t>
        </is>
      </c>
      <c r="F27" s="37" t="n"/>
      <c r="G27" s="37" t="n"/>
      <c r="H27" s="37" t="n"/>
      <c r="I27" s="37" t="n"/>
      <c r="J27" s="37" t="n"/>
      <c r="K27" s="37" t="n"/>
      <c r="L27" s="36" t="n"/>
    </row>
    <row r="28" ht="30" customHeight="1">
      <c r="A28" s="4" t="inlineStr">
        <is>
          <t>S15 평가</t>
        </is>
      </c>
      <c r="B28" s="36" t="n"/>
      <c r="C28" s="5" t="inlineStr">
        <is>
          <t>S29 평가</t>
        </is>
      </c>
      <c r="D28" s="36" t="n"/>
      <c r="E28" s="5" t="inlineStr">
        <is>
          <t>골든셋에 정형 · 혼합 문항 추가, 지표에 실행결과 정확도 추가</t>
        </is>
      </c>
      <c r="F28" s="37" t="n"/>
      <c r="G28" s="37" t="n"/>
      <c r="H28" s="37" t="n"/>
      <c r="I28" s="37" t="n"/>
      <c r="J28" s="37" t="n"/>
      <c r="K28" s="37" t="n"/>
      <c r="L28" s="36" t="n"/>
    </row>
    <row r="29" ht="30" customHeight="1">
      <c r="A29" s="4" t="inlineStr">
        <is>
          <t>S05 메타 · 권한</t>
        </is>
      </c>
      <c r="B29" s="36" t="n"/>
      <c r="C29" s="5" t="inlineStr">
        <is>
          <t>S28 권한</t>
        </is>
      </c>
      <c r="D29" s="36" t="n"/>
      <c r="E29" s="5" t="inlineStr">
        <is>
          <t>비정형 ACL과 정형 행 · 열 권한을 같은 사용자 그룹 체계로</t>
        </is>
      </c>
      <c r="F29" s="37" t="n"/>
      <c r="G29" s="37" t="n"/>
      <c r="H29" s="37" t="n"/>
      <c r="I29" s="37" t="n"/>
      <c r="J29" s="37" t="n"/>
      <c r="K29" s="37" t="n"/>
      <c r="L29" s="36" t="n"/>
    </row>
    <row r="30" ht="30" customHeight="1">
      <c r="A30" s="4" t="inlineStr">
        <is>
          <t>S19 변화 감지 (Phase 2)</t>
        </is>
      </c>
      <c r="B30" s="36" t="n"/>
      <c r="C30" s="5" t="inlineStr">
        <is>
          <t>패턴 D</t>
        </is>
      </c>
      <c r="D30" s="36" t="n"/>
      <c r="E30" s="5" t="inlineStr">
        <is>
          <t>외부 신호와 내부 지표를 같은 축에서 교차 비교</t>
        </is>
      </c>
      <c r="F30" s="37" t="n"/>
      <c r="G30" s="37" t="n"/>
      <c r="H30" s="37" t="n"/>
      <c r="I30" s="37" t="n"/>
      <c r="J30" s="37" t="n"/>
      <c r="K30" s="37" t="n"/>
      <c r="L30" s="36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실행 후 결과 기입</t>
        </is>
      </c>
    </row>
    <row r="2">
      <c r="A2" s="2" t="inlineStr">
        <is>
          <t>질문 원문 · 기대 근거: smoke_test_20_rev1.html · 실패 유형: ①검색 누락 ②부적합 청크 ③파싱 손상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24" t="inlineStr">
        <is>
          <t>SM01</t>
        </is>
      </c>
      <c r="B5" s="24" t="inlineStr">
        <is>
          <t>사실</t>
        </is>
      </c>
      <c r="C5" s="5" t="inlineStr">
        <is>
          <t>마이크론 HBM 생산 확대 계획</t>
        </is>
      </c>
      <c r="D5" s="25" t="inlineStr"/>
      <c r="E5" s="25" t="inlineStr"/>
      <c r="F5" s="25" t="inlineStr"/>
      <c r="G5" s="6" t="inlineStr"/>
    </row>
    <row r="6">
      <c r="A6" s="24" t="inlineStr">
        <is>
          <t>SM02</t>
        </is>
      </c>
      <c r="B6" s="24" t="inlineStr">
        <is>
          <t>사실</t>
        </is>
      </c>
      <c r="C6" s="5" t="inlineStr">
        <is>
          <t>Sufficiency Ratio 정의</t>
        </is>
      </c>
      <c r="D6" s="25" t="inlineStr"/>
      <c r="E6" s="25" t="inlineStr"/>
      <c r="F6" s="25" t="inlineStr"/>
      <c r="G6" s="6" t="inlineStr"/>
    </row>
    <row r="7">
      <c r="A7" s="24" t="inlineStr">
        <is>
          <t>SM03</t>
        </is>
      </c>
      <c r="B7" s="24" t="inlineStr">
        <is>
          <t>사실</t>
        </is>
      </c>
      <c r="C7" s="5" t="inlineStr">
        <is>
          <t>최근 주간회의 액션 아이템</t>
        </is>
      </c>
      <c r="D7" s="25" t="inlineStr"/>
      <c r="E7" s="25" t="inlineStr"/>
      <c r="F7" s="25" t="inlineStr"/>
      <c r="G7" s="6" t="inlineStr"/>
    </row>
    <row r="8">
      <c r="A8" s="24" t="inlineStr">
        <is>
          <t>SM04</t>
        </is>
      </c>
      <c r="B8" s="24" t="inlineStr">
        <is>
          <t>사실</t>
        </is>
      </c>
      <c r="C8" s="5" t="inlineStr">
        <is>
          <t>임원 보고 HBM 리스크 (권한)</t>
        </is>
      </c>
      <c r="D8" s="25" t="inlineStr"/>
      <c r="E8" s="25" t="inlineStr"/>
      <c r="F8" s="25" t="inlineStr"/>
      <c r="G8" s="6" t="inlineStr"/>
    </row>
    <row r="9">
      <c r="A9" s="24" t="inlineStr">
        <is>
          <t>SM05</t>
        </is>
      </c>
      <c r="B9" s="24" t="inlineStr">
        <is>
          <t>수치</t>
        </is>
      </c>
      <c r="C9" s="5" t="inlineStr">
        <is>
          <t>2H26 DRAM 계약가 분기별</t>
        </is>
      </c>
      <c r="D9" s="25" t="inlineStr"/>
      <c r="E9" s="25" t="inlineStr"/>
      <c r="F9" s="25" t="inlineStr"/>
      <c r="G9" s="6" t="inlineStr"/>
    </row>
    <row r="10">
      <c r="A10" s="24" t="inlineStr">
        <is>
          <t>SM06</t>
        </is>
      </c>
      <c r="B10" s="24" t="inlineStr">
        <is>
          <t>수치</t>
        </is>
      </c>
      <c r="C10" s="5" t="inlineStr">
        <is>
          <t>2026 HBM 시장 규모 · 성장률</t>
        </is>
      </c>
      <c r="D10" s="25" t="inlineStr"/>
      <c r="E10" s="25" t="inlineStr"/>
      <c r="F10" s="25" t="inlineStr"/>
      <c r="G10" s="6" t="inlineStr"/>
    </row>
    <row r="11">
      <c r="A11" s="24" t="inlineStr">
        <is>
          <t>SM07</t>
        </is>
      </c>
      <c r="B11" s="24" t="inlineStr">
        <is>
          <t>수치</t>
        </is>
      </c>
      <c r="C11" s="5" t="inlineStr">
        <is>
          <t>당사 eSSD 수요 (EB)</t>
        </is>
      </c>
      <c r="D11" s="25" t="inlineStr"/>
      <c r="E11" s="25" t="inlineStr"/>
      <c r="F11" s="25" t="inlineStr"/>
      <c r="G11" s="6" t="inlineStr"/>
    </row>
    <row r="12">
      <c r="A12" s="24" t="inlineStr">
        <is>
          <t>SM08</t>
        </is>
      </c>
      <c r="B12" s="24" t="inlineStr">
        <is>
          <t>수치</t>
        </is>
      </c>
      <c r="C12" s="5" t="inlineStr">
        <is>
          <t>엔비디아 최근 DC 매출</t>
        </is>
      </c>
      <c r="D12" s="25" t="inlineStr"/>
      <c r="E12" s="25" t="inlineStr"/>
      <c r="F12" s="25" t="inlineStr"/>
      <c r="G12" s="6" t="inlineStr"/>
    </row>
    <row r="13">
      <c r="A13" s="24" t="inlineStr">
        <is>
          <t>SM09</t>
        </is>
      </c>
      <c r="B13" s="24" t="inlineStr">
        <is>
          <t>기간</t>
        </is>
      </c>
      <c r="C13" s="5" t="inlineStr">
        <is>
          <t>최근 2주 CXMT 뉴스</t>
        </is>
      </c>
      <c r="D13" s="25" t="inlineStr"/>
      <c r="E13" s="25" t="inlineStr"/>
      <c r="F13" s="25" t="inlineStr"/>
      <c r="G13" s="6" t="inlineStr"/>
    </row>
    <row r="14">
      <c r="A14" s="24" t="inlineStr">
        <is>
          <t>SM10</t>
        </is>
      </c>
      <c r="B14" s="24" t="inlineStr">
        <is>
          <t>기간</t>
        </is>
      </c>
      <c r="C14" s="5" t="inlineStr">
        <is>
          <t>3Q NAND 전망 상향 증권사</t>
        </is>
      </c>
      <c r="D14" s="25" t="inlineStr"/>
      <c r="E14" s="25" t="inlineStr"/>
      <c r="F14" s="25" t="inlineStr"/>
      <c r="G14" s="6" t="inlineStr"/>
    </row>
    <row r="15">
      <c r="A15" s="24" t="inlineStr">
        <is>
          <t>SM11</t>
        </is>
      </c>
      <c r="B15" s="24" t="inlineStr">
        <is>
          <t>기간</t>
        </is>
      </c>
      <c r="C15" s="5" t="inlineStr">
        <is>
          <t>이번 달 고객 발주 조정 메일 (권한)</t>
        </is>
      </c>
      <c r="D15" s="25" t="inlineStr"/>
      <c r="E15" s="25" t="inlineStr"/>
      <c r="F15" s="25" t="inlineStr"/>
      <c r="G15" s="6" t="inlineStr"/>
    </row>
    <row r="16">
      <c r="A16" s="24" t="inlineStr">
        <is>
          <t>SM12</t>
        </is>
      </c>
      <c r="B16" s="24" t="inlineStr">
        <is>
          <t>종합</t>
        </is>
      </c>
      <c r="C16" s="5" t="inlineStr">
        <is>
          <t>하이퍼스케일러 CapEx 사외 vs 사내</t>
        </is>
      </c>
      <c r="D16" s="25" t="inlineStr"/>
      <c r="E16" s="25" t="inlineStr"/>
      <c r="F16" s="25" t="inlineStr"/>
      <c r="G16" s="6" t="inlineStr"/>
    </row>
    <row r="17">
      <c r="A17" s="24" t="inlineStr">
        <is>
          <t>SM13</t>
        </is>
      </c>
      <c r="B17" s="24" t="inlineStr">
        <is>
          <t>종합</t>
        </is>
      </c>
      <c r="C17" s="5" t="inlineStr">
        <is>
          <t>HBM4 12단 기술 이슈 + 경쟁사 (권한)</t>
        </is>
      </c>
      <c r="D17" s="25" t="inlineStr"/>
      <c r="E17" s="25" t="inlineStr"/>
      <c r="F17" s="25" t="inlineStr"/>
      <c r="G17" s="6" t="inlineStr"/>
    </row>
    <row r="18">
      <c r="A18" s="24" t="inlineStr">
        <is>
          <t>SM14</t>
        </is>
      </c>
      <c r="B18" s="24" t="inlineStr">
        <is>
          <t>종합</t>
        </is>
      </c>
      <c r="C18" s="5" t="inlineStr">
        <is>
          <t>美 수출규제 변경 → 중국 사업</t>
        </is>
      </c>
      <c r="D18" s="25" t="inlineStr"/>
      <c r="E18" s="25" t="inlineStr"/>
      <c r="F18" s="25" t="inlineStr"/>
      <c r="G18" s="6" t="inlineStr"/>
    </row>
    <row r="19">
      <c r="A19" s="24" t="inlineStr">
        <is>
          <t>SM15</t>
        </is>
      </c>
      <c r="B19" s="24" t="inlineStr">
        <is>
          <t>비교</t>
        </is>
      </c>
      <c r="C19" s="5" t="inlineStr">
        <is>
          <t>삼성 vs 하이닉스 HBM 점유율</t>
        </is>
      </c>
      <c r="D19" s="25" t="inlineStr"/>
      <c r="E19" s="25" t="inlineStr"/>
      <c r="F19" s="25" t="inlineStr"/>
      <c r="G19" s="6" t="inlineStr"/>
    </row>
    <row r="20">
      <c r="A20" s="24" t="inlineStr">
        <is>
          <t>SM16</t>
        </is>
      </c>
      <c r="B20" s="24" t="inlineStr">
        <is>
          <t>비교</t>
        </is>
      </c>
      <c r="C20" s="5" t="inlineStr">
        <is>
          <t>사내 vs 임원 보고 NAND 판단 (권한)</t>
        </is>
      </c>
      <c r="D20" s="25" t="inlineStr"/>
      <c r="E20" s="25" t="inlineStr"/>
      <c r="F20" s="25" t="inlineStr"/>
      <c r="G20" s="6" t="inlineStr"/>
    </row>
    <row r="21">
      <c r="A21" s="24" t="inlineStr">
        <is>
          <t>SM17</t>
        </is>
      </c>
      <c r="B21" s="24" t="inlineStr">
        <is>
          <t>비교</t>
        </is>
      </c>
      <c r="C21" s="5" t="inlineStr">
        <is>
          <t>마이크론 vs 삼성 미국 팹</t>
        </is>
      </c>
      <c r="D21" s="25" t="inlineStr"/>
      <c r="E21" s="25" t="inlineStr"/>
      <c r="F21" s="25" t="inlineStr"/>
      <c r="G21" s="6" t="inlineStr"/>
    </row>
    <row r="22">
      <c r="A22" s="24" t="inlineStr">
        <is>
          <t>SM18</t>
        </is>
      </c>
      <c r="B22" s="24" t="inlineStr">
        <is>
          <t>답없음</t>
        </is>
      </c>
      <c r="C22" s="5" t="inlineStr">
        <is>
          <t>2027 HBM 판가 확정치</t>
        </is>
      </c>
      <c r="D22" s="25" t="inlineStr"/>
      <c r="E22" s="25" t="inlineStr"/>
      <c r="F22" s="25" t="inlineStr"/>
      <c r="G22" s="6" t="inlineStr"/>
    </row>
    <row r="23">
      <c r="A23" s="24" t="inlineStr">
        <is>
          <t>SM19</t>
        </is>
      </c>
      <c r="B23" s="24" t="inlineStr">
        <is>
          <t>답없음</t>
        </is>
      </c>
      <c r="C23" s="5" t="inlineStr">
        <is>
          <t>경쟁사 HBM 수율 정확값</t>
        </is>
      </c>
      <c r="D23" s="25" t="inlineStr"/>
      <c r="E23" s="25" t="inlineStr"/>
      <c r="F23" s="25" t="inlineStr"/>
      <c r="G23" s="6" t="inlineStr"/>
    </row>
    <row r="24">
      <c r="A24" s="24" t="inlineStr">
        <is>
          <t>SM20</t>
        </is>
      </c>
      <c r="B24" s="24" t="inlineStr">
        <is>
          <t>답없음</t>
        </is>
      </c>
      <c r="C24" s="5" t="inlineStr">
        <is>
          <t>TSMC DRAM 출하량 (전제 오류)</t>
        </is>
      </c>
      <c r="D24" s="25" t="inlineStr"/>
      <c r="E24" s="25" t="inlineStr"/>
      <c r="F24" s="25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2026-09-23T14:03:13Z</dcterms:created>
  <dcterms:modified xmlns:dcterms="http://purl.org/dc/terms/" xmlns:xsi="http://www.w3.org/2001/XMLSchema-instance" xsi:type="dcterms:W3CDTF">2026-09-23T14:03:13Z</dcterms:modified>
</cp:coreProperties>
</file>