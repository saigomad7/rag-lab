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골든셋_검수" sheetId="2" state="visible" r:id="rId2"/>
    <sheet xmlns:r="http://schemas.openxmlformats.org/officeDocument/2006/relationships" name="2_골든셋_확정" sheetId="3" state="visible" r:id="rId3"/>
    <sheet xmlns:r="http://schemas.openxmlformats.org/officeDocument/2006/relationships" name="2b_질의응답_골든셋" sheetId="4" state="visible" r:id="rId4"/>
    <sheet xmlns:r="http://schemas.openxmlformats.org/officeDocument/2006/relationships" name="2c_답변_채점기준" sheetId="5" state="visible" r:id="rId5"/>
    <sheet xmlns:r="http://schemas.openxmlformats.org/officeDocument/2006/relationships" name="3_평가_실행기록" sheetId="6" state="visible" r:id="rId6"/>
    <sheet xmlns:r="http://schemas.openxmlformats.org/officeDocument/2006/relationships" name="4_지표_정의" sheetId="7" state="visible" r:id="rId7"/>
    <sheet xmlns:r="http://schemas.openxmlformats.org/officeDocument/2006/relationships" name="8_표준지표" sheetId="8" state="visible" r:id="rId8"/>
    <sheet xmlns:r="http://schemas.openxmlformats.org/officeDocument/2006/relationships" name="5_전후비교" sheetId="9" state="visible" r:id="rId9"/>
    <sheet xmlns:r="http://schemas.openxmlformats.org/officeDocument/2006/relationships" name="6_문항별_결과" sheetId="10" state="visible" r:id="rId10"/>
    <sheet xmlns:r="http://schemas.openxmlformats.org/officeDocument/2006/relationships" name="7_답변평가" sheetId="11" state="visible" r:id="rId11"/>
  </sheets>
  <definedNames>
    <definedName name="_xlnm._FilterDatabase" localSheetId="1" hidden="1">'1_골든셋_검수'!$A$4:$L$304</definedName>
    <definedName name="_xlnm._FilterDatabase" localSheetId="2" hidden="1">'2_골든셋_확정'!$A$4:$I$304</definedName>
    <definedName name="_xlnm._FilterDatabase" localSheetId="3" hidden="1">'2b_질의응답_골든셋'!$A$4:$K$64</definedName>
    <definedName name="_xlnm._FilterDatabase" localSheetId="4" hidden="1">'2c_답변_채점기준'!$A$4:$C$4</definedName>
    <definedName name="_xlnm._FilterDatabase" localSheetId="5" hidden="1">'3_평가_실행기록'!$A$4:$U$304</definedName>
    <definedName name="_xlnm._FilterDatabase" localSheetId="6" hidden="1">'4_지표_정의'!$A$4:$E$4</definedName>
    <definedName name="_xlnm._FilterDatabase" localSheetId="7" hidden="1">'8_표준지표'!$A$4:$I$20</definedName>
    <definedName name="_xlnm._FilterDatabase" localSheetId="9" hidden="1">'6_문항별_결과'!$A$4:$K$304</definedName>
    <definedName name="_xlnm._FilterDatabase" localSheetId="10" hidden="1">'7_답변평가'!$A$4:$H$304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0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1"/>
    </font>
    <font>
      <name val="맑은 고딕"/>
      <b val="1"/>
      <color rgb="00185463"/>
      <sz val="13"/>
    </font>
    <font>
      <name val="맑은 고딕"/>
      <i val="1"/>
      <color rgb="00808080"/>
      <sz val="10"/>
    </font>
    <font>
      <name val="맑은 고딕"/>
      <b val="1"/>
      <color rgb="00185463"/>
      <sz val="10"/>
    </font>
    <font>
      <name val="맑은 고딕"/>
      <color rgb="005C440C"/>
      <sz val="9"/>
    </font>
  </fonts>
  <fills count="7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5F5F5"/>
        <bgColor rgb="00F5F5F5"/>
      </patternFill>
    </fill>
    <fill>
      <patternFill patternType="solid">
        <fgColor rgb="00EEF4F5"/>
        <bgColor rgb="00EEF4F5"/>
      </patternFill>
    </fill>
    <fill>
      <patternFill patternType="solid">
        <fgColor rgb="00F5EAD0"/>
        <bgColor rgb="00F5EAD0"/>
      </patternFill>
    </fill>
  </fills>
  <borders count="6">
    <border>
      <left/>
      <right/>
      <top/>
      <bottom/>
      <diagonal/>
    </border>
    <border>
      <left style="thin">
        <color rgb="00BFCACB"/>
      </left>
      <right style="thin">
        <color rgb="00BFCACB"/>
      </right>
      <top style="thin">
        <color rgb="00BFCACB"/>
      </top>
      <bottom style="thin">
        <color rgb="00BFCACB"/>
      </bottom>
    </border>
    <border>
      <left/>
      <right/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/>
      <diagonal/>
    </border>
    <border>
      <left/>
      <right style="thin">
        <color rgb="00BFCACB"/>
      </right>
      <top style="thin">
        <color rgb="00BFCACB"/>
      </top>
      <bottom style="thin">
        <color rgb="00BFCACB"/>
      </bottom>
      <diagonal/>
    </border>
    <border>
      <left/>
      <right/>
      <top style="thin">
        <color rgb="00BFCACB"/>
      </top>
      <bottom style="thin">
        <color rgb="00BFCAC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0" pivotButton="0" quotePrefix="0" xfId="0"/>
    <xf numFmtId="0" fontId="7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1" pivotButton="0" quotePrefix="0" xfId="0"/>
    <xf numFmtId="0" fontId="4" fillId="5" borderId="1" pivotButton="0" quotePrefix="0" xfId="0"/>
    <xf numFmtId="9" fontId="4" fillId="5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5" borderId="1" pivotButton="0" quotePrefix="0" xfId="0"/>
    <xf numFmtId="9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5" borderId="1" pivotButton="0" quotePrefix="0" xfId="0"/>
    <xf numFmtId="165" fontId="7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0" fillId="0" borderId="5" pivotButton="0" quotePrefix="0" xfId="0"/>
    <xf numFmtId="0" fontId="0" fillId="3" borderId="1" pivotButton="0" quotePrefix="0" xfId="0"/>
    <xf numFmtId="165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30" customWidth="1" min="3" max="3"/>
  </cols>
  <sheetData>
    <row r="1">
      <c r="A1" s="1" t="inlineStr">
        <is>
          <t>골든셋 · 정량 평가 팩 rev.2</t>
        </is>
      </c>
    </row>
    <row r="2">
      <c r="A2" s="2" t="inlineStr">
        <is>
          <t>2026-09-23 · 골든셋 구성 → 정량 평가 · 질의·답변 골든셋 60문항 · 표준 지표(RAGAS 계열) 포함 · 연노랑 = 기입 / 회색 = 자동 계산</t>
        </is>
      </c>
    </row>
    <row r="4">
      <c r="A4" s="3" t="inlineStr">
        <is>
          <t>단계</t>
        </is>
      </c>
      <c r="B4" s="3" t="inlineStr">
        <is>
          <t>내용</t>
        </is>
      </c>
      <c r="C4" s="3" t="inlineStr">
        <is>
          <t>소요 · 비고</t>
        </is>
      </c>
    </row>
    <row r="5">
      <c r="A5" s="4" t="inlineStr">
        <is>
          <t>1단계 · 자동 생성</t>
        </is>
      </c>
      <c r="B5" s="5" t="inlineStr">
        <is>
          <t>nb08_auto_eval 실행 → out/nb08_set_*.csv 생성 (known-item · 제목 · 합성)</t>
        </is>
      </c>
      <c r="C5" s="5" t="inlineStr">
        <is>
          <t>라벨 작업 0건</t>
        </is>
      </c>
    </row>
    <row r="6">
      <c r="A6" s="4" t="inlineStr">
        <is>
          <t>2단계 · 검수</t>
        </is>
      </c>
      <c r="B6" s="5" t="inlineStr">
        <is>
          <t>`1_골든셋_검수` 시트에 붙여넣기 → 채택 / 수정 / 폐기 판정</t>
        </is>
      </c>
      <c r="C6" s="5" t="inlineStr">
        <is>
          <t>문항당 10초 내외 · 200건 ≈ 40분</t>
        </is>
      </c>
    </row>
    <row r="7">
      <c r="A7" s="4" t="inlineStr">
        <is>
          <t>3단계 · 확정</t>
        </is>
      </c>
      <c r="B7" s="5" t="inlineStr">
        <is>
          <t>채택분 + 실제 업무 질문 30건 → `2_골든셋_확정` · 파일: rag_lab/golden/golden_v1.csv</t>
        </is>
      </c>
      <c r="C7" s="5" t="inlineStr">
        <is>
          <t>유형 배분표 준수</t>
        </is>
      </c>
    </row>
    <row r="8">
      <c r="A8" s="4" t="inlineStr">
        <is>
          <t>4단계 · 측정</t>
        </is>
      </c>
      <c r="B8" s="5" t="inlineStr">
        <is>
          <t>nb06(검색) · nb08(자동셋) 실행 → `3_평가_실행기록` 에 회차별 값 기입</t>
        </is>
      </c>
      <c r="C8" s="5" t="inlineStr">
        <is>
          <t>설정 변경 시마다 1행 추가</t>
        </is>
      </c>
    </row>
    <row r="9">
      <c r="A9" s="4" t="inlineStr">
        <is>
          <t>5단계 · 판정</t>
        </is>
      </c>
      <c r="B9" s="5" t="inlineStr">
        <is>
          <t>`4_지표_정의` 기준 대비 충족 / 미달 · `5_전후비교` 로 개선 유의성 확인</t>
        </is>
      </c>
      <c r="C9" s="5" t="inlineStr">
        <is>
          <t>표본오차 · McNemar 자동 계산</t>
        </is>
      </c>
    </row>
    <row r="10">
      <c r="A10" s="4" t="inlineStr">
        <is>
          <t>6단계 · 원인 분석</t>
        </is>
      </c>
      <c r="B10" s="5" t="inlineStr">
        <is>
          <t>`6_문항별_결과` 개선 / 퇴행 문항 · `7_답변평가` 충실도 · 인용</t>
        </is>
      </c>
      <c r="C10" s="5" t="inlineStr">
        <is>
          <t>퇴행 문항 = 회귀 위험</t>
        </is>
      </c>
    </row>
    <row r="11">
      <c r="A11" s="4" t="inlineStr">
        <is>
          <t>대안 경로 · 답변 평가</t>
        </is>
      </c>
      <c r="B11" s="5" t="inlineStr">
        <is>
          <t>사내 골든셋 확보 곤란 시 `2b_질의응답_골든셋`(사외 정보 기반 60문항) 사용</t>
        </is>
      </c>
      <c r="C11" s="5" t="inlineStr">
        <is>
          <t>문서 ID 불필요 · 필수 요소로 채점</t>
        </is>
      </c>
    </row>
    <row r="12">
      <c r="A12" s="4" t="inlineStr">
        <is>
          <t>표준 지표</t>
        </is>
      </c>
      <c r="B12" s="5" t="inlineStr">
        <is>
          <t>`8_표준지표` 16종 (검색 IR · 생성 RAGAS 계열 · 운영) · 계산: nb10_answer_eval</t>
        </is>
      </c>
      <c r="C12" s="5" t="inlineStr">
        <is>
          <t>auto / judge / manual 구분</t>
        </is>
      </c>
    </row>
    <row r="14">
      <c r="A14" s="6" t="inlineStr">
        <is>
          <t>규칙</t>
        </is>
      </c>
    </row>
    <row r="15">
      <c r="A15" s="4" t="inlineStr">
        <is>
          <t>정답 표기</t>
        </is>
      </c>
      <c r="B15" s="5" t="inlineStr">
        <is>
          <t>gold_doc_ids: 복수 시 ";" 구분 / gold_text: 문서 내 정답 문장 · 청크 ID 사용 금지(재청킹 시 무효)</t>
        </is>
      </c>
      <c r="C15" s="7" t="n"/>
    </row>
    <row r="16">
      <c r="A16" s="4" t="inlineStr">
        <is>
          <t>판정 방식</t>
        </is>
      </c>
      <c r="B16" s="5" t="inlineStr">
        <is>
          <t>결과 청크 doc_id 일치 + 정답 문장 3-gram 겹침 ≥ 0.5 → 적중</t>
        </is>
      </c>
      <c r="C16" s="7" t="n"/>
    </row>
    <row r="17">
      <c r="A17" s="4" t="inlineStr">
        <is>
          <t>최소 규모</t>
        </is>
      </c>
      <c r="B17" s="5" t="inlineStr">
        <is>
          <t>자동 200 + 수동 30 · n=200 → 95% 신뢰구간 ±6.9%p · 개선 폭이 오차보다 작으면 판단 보류</t>
        </is>
      </c>
      <c r="C17" s="7" t="n"/>
    </row>
    <row r="18">
      <c r="A18" s="4" t="inlineStr">
        <is>
          <t>회차 관리</t>
        </is>
      </c>
      <c r="B18" s="5" t="inlineStr">
        <is>
          <t>설정 1개만 바꾸고 1회차 측정 (동시 변경 시 원인 분리 불가)</t>
        </is>
      </c>
      <c r="C18" s="7" t="n"/>
    </row>
    <row r="19">
      <c r="A19" s="4" t="inlineStr">
        <is>
          <t>평가셋 고정</t>
        </is>
      </c>
      <c r="B19" s="5" t="inlineStr">
        <is>
          <t>평가셋 버전 고정 후 비교 · 문항 추가 시 버전 번호 변경</t>
        </is>
      </c>
      <c r="C19" s="7" t="n"/>
    </row>
  </sheetData>
  <mergeCells count="5">
    <mergeCell ref="B16:C16"/>
    <mergeCell ref="B15:C15"/>
    <mergeCell ref="B19:C19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46" customWidth="1" min="4" max="4"/>
    <col width="14" customWidth="1" min="5" max="5"/>
    <col width="40" customWidth="1" min="6" max="6"/>
    <col width="11" customWidth="1" min="7" max="7"/>
    <col width="40" customWidth="1" min="8" max="8"/>
    <col width="14" customWidth="1" min="9" max="9"/>
    <col width="20" customWidth="1" min="10" max="10"/>
    <col width="10" customWidth="1" min="11" max="11"/>
    <col width="11" customWidth="1" min="12" max="12"/>
  </cols>
  <sheetData>
    <row r="1">
      <c r="A1" s="8" t="inlineStr">
        <is>
          <t>1. 골든셋 검수 — 자동 생성분 판정</t>
        </is>
      </c>
    </row>
    <row r="2">
      <c r="A2" s="2" t="inlineStr">
        <is>
          <t>nb08 출력(out/nb08_set_*.csv) 붙여넣기 → G~L 열 기입 · 채택분만 2단계로 이동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질문(자동 생성)</t>
        </is>
      </c>
      <c r="E4" s="3" t="inlineStr">
        <is>
          <t>정답 문서</t>
        </is>
      </c>
      <c r="F4" s="3" t="inlineStr">
        <is>
          <t>정답 문장</t>
        </is>
      </c>
      <c r="G4" s="3" t="inlineStr">
        <is>
          <t>검수 결과</t>
        </is>
      </c>
      <c r="H4" s="3" t="inlineStr">
        <is>
          <t>수정 질문</t>
        </is>
      </c>
      <c r="I4" s="3" t="inlineStr">
        <is>
          <t>수정 정답 문서</t>
        </is>
      </c>
      <c r="J4" s="3" t="inlineStr">
        <is>
          <t>폐기 사유</t>
        </is>
      </c>
      <c r="K4" s="3" t="inlineStr">
        <is>
          <t>검수자</t>
        </is>
      </c>
      <c r="L4" s="3" t="inlineStr">
        <is>
          <t>검수일</t>
        </is>
      </c>
    </row>
    <row r="5">
      <c r="A5" s="9" t="inlineStr">
        <is>
          <t>K0001</t>
        </is>
      </c>
      <c r="B5" s="9" t="inlineStr">
        <is>
          <t>known-item</t>
        </is>
      </c>
      <c r="C5" s="9" t="inlineStr">
        <is>
          <t>easy</t>
        </is>
      </c>
      <c r="D5" s="9" t="inlineStr">
        <is>
          <t>2026년 HBM 시장 규모는 520억 달러로 전년 대비 60% 성장할 전망이다.</t>
        </is>
      </c>
      <c r="E5" s="9" t="inlineStr">
        <is>
          <t>I001</t>
        </is>
      </c>
      <c r="F5" s="9" t="inlineStr">
        <is>
          <t>2026년 HBM 시장 규모는 520억 달러로 전년 대비 60% 성장할 전망이다.</t>
        </is>
      </c>
      <c r="G5" s="9" t="inlineStr">
        <is>
          <t>채택</t>
        </is>
      </c>
      <c r="H5" s="9" t="inlineStr"/>
      <c r="I5" s="9" t="inlineStr"/>
      <c r="J5" s="9" t="inlineStr"/>
      <c r="K5" s="9" t="inlineStr">
        <is>
          <t>홍길동</t>
        </is>
      </c>
      <c r="L5" s="9" t="inlineStr">
        <is>
          <t>2026-10-05</t>
        </is>
      </c>
    </row>
    <row r="6">
      <c r="A6" s="9" t="inlineStr">
        <is>
          <t>K0002</t>
        </is>
      </c>
      <c r="B6" s="9" t="inlineStr">
        <is>
          <t>known-item</t>
        </is>
      </c>
      <c r="C6" s="9" t="inlineStr">
        <is>
          <t>easy</t>
        </is>
      </c>
      <c r="D6" s="9" t="inlineStr">
        <is>
          <t>HBM 점유율은 SK하이닉스 55%, 삼성전자 35%, 마이크론 10%로 추정한다.</t>
        </is>
      </c>
      <c r="E6" s="9" t="inlineStr">
        <is>
          <t>B001</t>
        </is>
      </c>
      <c r="F6" s="9" t="inlineStr">
        <is>
          <t>HBM 점유율은 SK하이닉스 55%, 삼성전자 35%, 마이크론 10%로 추정한다.</t>
        </is>
      </c>
      <c r="G6" s="9" t="inlineStr">
        <is>
          <t>채택</t>
        </is>
      </c>
      <c r="H6" s="9" t="inlineStr"/>
      <c r="I6" s="9" t="inlineStr"/>
      <c r="J6" s="9" t="inlineStr"/>
      <c r="K6" s="9" t="inlineStr">
        <is>
          <t>홍길동</t>
        </is>
      </c>
      <c r="L6" s="9" t="inlineStr">
        <is>
          <t>2026-10-05</t>
        </is>
      </c>
    </row>
    <row r="7">
      <c r="A7" s="9" t="inlineStr">
        <is>
          <t>K0003</t>
        </is>
      </c>
      <c r="B7" s="9" t="inlineStr">
        <is>
          <t>known-item</t>
        </is>
      </c>
      <c r="C7" s="9" t="inlineStr">
        <is>
          <t>mid</t>
        </is>
      </c>
      <c r="D7" s="9" t="inlineStr">
        <is>
          <t>고객사 A에서 4Q 발주를 10% 하향하겠다고 통보했습니다.</t>
        </is>
      </c>
      <c r="E7" s="9" t="inlineStr">
        <is>
          <t>E001</t>
        </is>
      </c>
      <c r="F7" s="9" t="inlineStr">
        <is>
          <t>고객사 A에서 4Q 발주를 10% 하향하겠다고 통보했습니다.</t>
        </is>
      </c>
      <c r="G7" s="9" t="inlineStr">
        <is>
          <t>채택</t>
        </is>
      </c>
      <c r="H7" s="9" t="inlineStr"/>
      <c r="I7" s="9" t="inlineStr"/>
      <c r="J7" s="9" t="inlineStr"/>
      <c r="K7" s="9" t="inlineStr">
        <is>
          <t>홍길동</t>
        </is>
      </c>
      <c r="L7" s="9" t="inlineStr">
        <is>
          <t>2026-10-05</t>
        </is>
      </c>
    </row>
    <row r="8">
      <c r="A8" s="5" t="n"/>
      <c r="B8" s="5" t="n"/>
      <c r="C8" s="5" t="n"/>
      <c r="D8" s="5" t="n"/>
      <c r="E8" s="5" t="n"/>
      <c r="F8" s="5" t="n"/>
      <c r="G8" s="10" t="n"/>
      <c r="H8" s="10" t="n"/>
      <c r="I8" s="10" t="n"/>
      <c r="J8" s="10" t="n"/>
      <c r="K8" s="10" t="n"/>
      <c r="L8" s="10" t="n"/>
    </row>
    <row r="9">
      <c r="A9" s="5" t="n"/>
      <c r="B9" s="5" t="n"/>
      <c r="C9" s="5" t="n"/>
      <c r="D9" s="5" t="n"/>
      <c r="E9" s="5" t="n"/>
      <c r="F9" s="5" t="n"/>
      <c r="G9" s="10" t="n"/>
      <c r="H9" s="10" t="n"/>
      <c r="I9" s="10" t="n"/>
      <c r="J9" s="10" t="n"/>
      <c r="K9" s="10" t="n"/>
      <c r="L9" s="10" t="n"/>
    </row>
    <row r="10">
      <c r="A10" s="5" t="n"/>
      <c r="B10" s="5" t="n"/>
      <c r="C10" s="5" t="n"/>
      <c r="D10" s="5" t="n"/>
      <c r="E10" s="5" t="n"/>
      <c r="F10" s="5" t="n"/>
      <c r="G10" s="10" t="n"/>
      <c r="H10" s="10" t="n"/>
      <c r="I10" s="10" t="n"/>
      <c r="J10" s="10" t="n"/>
      <c r="K10" s="10" t="n"/>
      <c r="L10" s="10" t="n"/>
    </row>
    <row r="11">
      <c r="A11" s="5" t="n"/>
      <c r="B11" s="5" t="n"/>
      <c r="C11" s="5" t="n"/>
      <c r="D11" s="5" t="n"/>
      <c r="E11" s="5" t="n"/>
      <c r="F11" s="5" t="n"/>
      <c r="G11" s="10" t="n"/>
      <c r="H11" s="10" t="n"/>
      <c r="I11" s="10" t="n"/>
      <c r="J11" s="10" t="n"/>
      <c r="K11" s="10" t="n"/>
      <c r="L11" s="10" t="n"/>
    </row>
    <row r="12">
      <c r="A12" s="5" t="n"/>
      <c r="B12" s="5" t="n"/>
      <c r="C12" s="5" t="n"/>
      <c r="D12" s="5" t="n"/>
      <c r="E12" s="5" t="n"/>
      <c r="F12" s="5" t="n"/>
      <c r="G12" s="10" t="n"/>
      <c r="H12" s="10" t="n"/>
      <c r="I12" s="10" t="n"/>
      <c r="J12" s="10" t="n"/>
      <c r="K12" s="10" t="n"/>
      <c r="L12" s="10" t="n"/>
    </row>
    <row r="13">
      <c r="A13" s="5" t="n"/>
      <c r="B13" s="5" t="n"/>
      <c r="C13" s="5" t="n"/>
      <c r="D13" s="5" t="n"/>
      <c r="E13" s="5" t="n"/>
      <c r="F13" s="5" t="n"/>
      <c r="G13" s="10" t="n"/>
      <c r="H13" s="10" t="n"/>
      <c r="I13" s="10" t="n"/>
      <c r="J13" s="10" t="n"/>
      <c r="K13" s="10" t="n"/>
      <c r="L13" s="10" t="n"/>
    </row>
    <row r="14">
      <c r="A14" s="5" t="n"/>
      <c r="B14" s="5" t="n"/>
      <c r="C14" s="5" t="n"/>
      <c r="D14" s="5" t="n"/>
      <c r="E14" s="5" t="n"/>
      <c r="F14" s="5" t="n"/>
      <c r="G14" s="10" t="n"/>
      <c r="H14" s="10" t="n"/>
      <c r="I14" s="10" t="n"/>
      <c r="J14" s="10" t="n"/>
      <c r="K14" s="10" t="n"/>
      <c r="L14" s="10" t="n"/>
    </row>
    <row r="15">
      <c r="A15" s="5" t="n"/>
      <c r="B15" s="5" t="n"/>
      <c r="C15" s="5" t="n"/>
      <c r="D15" s="5" t="n"/>
      <c r="E15" s="5" t="n"/>
      <c r="F15" s="5" t="n"/>
      <c r="G15" s="10" t="n"/>
      <c r="H15" s="10" t="n"/>
      <c r="I15" s="10" t="n"/>
      <c r="J15" s="10" t="n"/>
      <c r="K15" s="10" t="n"/>
      <c r="L15" s="10" t="n"/>
    </row>
    <row r="16">
      <c r="A16" s="5" t="n"/>
      <c r="B16" s="5" t="n"/>
      <c r="C16" s="5" t="n"/>
      <c r="D16" s="5" t="n"/>
      <c r="E16" s="5" t="n"/>
      <c r="F16" s="5" t="n"/>
      <c r="G16" s="10" t="n"/>
      <c r="H16" s="10" t="n"/>
      <c r="I16" s="10" t="n"/>
      <c r="J16" s="10" t="n"/>
      <c r="K16" s="10" t="n"/>
      <c r="L16" s="10" t="n"/>
    </row>
    <row r="17">
      <c r="A17" s="5" t="n"/>
      <c r="B17" s="5" t="n"/>
      <c r="C17" s="5" t="n"/>
      <c r="D17" s="5" t="n"/>
      <c r="E17" s="5" t="n"/>
      <c r="F17" s="5" t="n"/>
      <c r="G17" s="10" t="n"/>
      <c r="H17" s="10" t="n"/>
      <c r="I17" s="10" t="n"/>
      <c r="J17" s="10" t="n"/>
      <c r="K17" s="10" t="n"/>
      <c r="L17" s="10" t="n"/>
    </row>
    <row r="18">
      <c r="A18" s="5" t="n"/>
      <c r="B18" s="5" t="n"/>
      <c r="C18" s="5" t="n"/>
      <c r="D18" s="5" t="n"/>
      <c r="E18" s="5" t="n"/>
      <c r="F18" s="5" t="n"/>
      <c r="G18" s="10" t="n"/>
      <c r="H18" s="10" t="n"/>
      <c r="I18" s="10" t="n"/>
      <c r="J18" s="10" t="n"/>
      <c r="K18" s="10" t="n"/>
      <c r="L18" s="10" t="n"/>
    </row>
    <row r="19">
      <c r="A19" s="5" t="n"/>
      <c r="B19" s="5" t="n"/>
      <c r="C19" s="5" t="n"/>
      <c r="D19" s="5" t="n"/>
      <c r="E19" s="5" t="n"/>
      <c r="F19" s="5" t="n"/>
      <c r="G19" s="10" t="n"/>
      <c r="H19" s="10" t="n"/>
      <c r="I19" s="10" t="n"/>
      <c r="J19" s="10" t="n"/>
      <c r="K19" s="10" t="n"/>
      <c r="L19" s="10" t="n"/>
    </row>
    <row r="20">
      <c r="A20" s="5" t="n"/>
      <c r="B20" s="5" t="n"/>
      <c r="C20" s="5" t="n"/>
      <c r="D20" s="5" t="n"/>
      <c r="E20" s="5" t="n"/>
      <c r="F20" s="5" t="n"/>
      <c r="G20" s="10" t="n"/>
      <c r="H20" s="10" t="n"/>
      <c r="I20" s="10" t="n"/>
      <c r="J20" s="10" t="n"/>
      <c r="K20" s="10" t="n"/>
      <c r="L20" s="10" t="n"/>
    </row>
    <row r="21">
      <c r="A21" s="5" t="n"/>
      <c r="B21" s="5" t="n"/>
      <c r="C21" s="5" t="n"/>
      <c r="D21" s="5" t="n"/>
      <c r="E21" s="5" t="n"/>
      <c r="F21" s="5" t="n"/>
      <c r="G21" s="10" t="n"/>
      <c r="H21" s="10" t="n"/>
      <c r="I21" s="10" t="n"/>
      <c r="J21" s="10" t="n"/>
      <c r="K21" s="10" t="n"/>
      <c r="L21" s="10" t="n"/>
    </row>
    <row r="22">
      <c r="A22" s="5" t="n"/>
      <c r="B22" s="5" t="n"/>
      <c r="C22" s="5" t="n"/>
      <c r="D22" s="5" t="n"/>
      <c r="E22" s="5" t="n"/>
      <c r="F22" s="5" t="n"/>
      <c r="G22" s="10" t="n"/>
      <c r="H22" s="10" t="n"/>
      <c r="I22" s="10" t="n"/>
      <c r="J22" s="10" t="n"/>
      <c r="K22" s="10" t="n"/>
      <c r="L22" s="10" t="n"/>
    </row>
    <row r="23">
      <c r="A23" s="5" t="n"/>
      <c r="B23" s="5" t="n"/>
      <c r="C23" s="5" t="n"/>
      <c r="D23" s="5" t="n"/>
      <c r="E23" s="5" t="n"/>
      <c r="F23" s="5" t="n"/>
      <c r="G23" s="10" t="n"/>
      <c r="H23" s="10" t="n"/>
      <c r="I23" s="10" t="n"/>
      <c r="J23" s="10" t="n"/>
      <c r="K23" s="10" t="n"/>
      <c r="L23" s="10" t="n"/>
    </row>
    <row r="24">
      <c r="A24" s="5" t="n"/>
      <c r="B24" s="5" t="n"/>
      <c r="C24" s="5" t="n"/>
      <c r="D24" s="5" t="n"/>
      <c r="E24" s="5" t="n"/>
      <c r="F24" s="5" t="n"/>
      <c r="G24" s="10" t="n"/>
      <c r="H24" s="10" t="n"/>
      <c r="I24" s="10" t="n"/>
      <c r="J24" s="10" t="n"/>
      <c r="K24" s="10" t="n"/>
      <c r="L24" s="10" t="n"/>
    </row>
    <row r="25">
      <c r="A25" s="5" t="n"/>
      <c r="B25" s="5" t="n"/>
      <c r="C25" s="5" t="n"/>
      <c r="D25" s="5" t="n"/>
      <c r="E25" s="5" t="n"/>
      <c r="F25" s="5" t="n"/>
      <c r="G25" s="10" t="n"/>
      <c r="H25" s="10" t="n"/>
      <c r="I25" s="10" t="n"/>
      <c r="J25" s="10" t="n"/>
      <c r="K25" s="10" t="n"/>
      <c r="L25" s="10" t="n"/>
    </row>
    <row r="26">
      <c r="A26" s="5" t="n"/>
      <c r="B26" s="5" t="n"/>
      <c r="C26" s="5" t="n"/>
      <c r="D26" s="5" t="n"/>
      <c r="E26" s="5" t="n"/>
      <c r="F26" s="5" t="n"/>
      <c r="G26" s="10" t="n"/>
      <c r="H26" s="10" t="n"/>
      <c r="I26" s="10" t="n"/>
      <c r="J26" s="10" t="n"/>
      <c r="K26" s="10" t="n"/>
      <c r="L26" s="10" t="n"/>
    </row>
    <row r="27">
      <c r="A27" s="5" t="n"/>
      <c r="B27" s="5" t="n"/>
      <c r="C27" s="5" t="n"/>
      <c r="D27" s="5" t="n"/>
      <c r="E27" s="5" t="n"/>
      <c r="F27" s="5" t="n"/>
      <c r="G27" s="10" t="n"/>
      <c r="H27" s="10" t="n"/>
      <c r="I27" s="10" t="n"/>
      <c r="J27" s="10" t="n"/>
      <c r="K27" s="10" t="n"/>
      <c r="L27" s="10" t="n"/>
    </row>
    <row r="28">
      <c r="A28" s="5" t="n"/>
      <c r="B28" s="5" t="n"/>
      <c r="C28" s="5" t="n"/>
      <c r="D28" s="5" t="n"/>
      <c r="E28" s="5" t="n"/>
      <c r="F28" s="5" t="n"/>
      <c r="G28" s="10" t="n"/>
      <c r="H28" s="10" t="n"/>
      <c r="I28" s="10" t="n"/>
      <c r="J28" s="10" t="n"/>
      <c r="K28" s="10" t="n"/>
      <c r="L28" s="10" t="n"/>
    </row>
    <row r="29">
      <c r="A29" s="5" t="n"/>
      <c r="B29" s="5" t="n"/>
      <c r="C29" s="5" t="n"/>
      <c r="D29" s="5" t="n"/>
      <c r="E29" s="5" t="n"/>
      <c r="F29" s="5" t="n"/>
      <c r="G29" s="10" t="n"/>
      <c r="H29" s="10" t="n"/>
      <c r="I29" s="10" t="n"/>
      <c r="J29" s="10" t="n"/>
      <c r="K29" s="10" t="n"/>
      <c r="L29" s="10" t="n"/>
    </row>
    <row r="30">
      <c r="A30" s="5" t="n"/>
      <c r="B30" s="5" t="n"/>
      <c r="C30" s="5" t="n"/>
      <c r="D30" s="5" t="n"/>
      <c r="E30" s="5" t="n"/>
      <c r="F30" s="5" t="n"/>
      <c r="G30" s="10" t="n"/>
      <c r="H30" s="10" t="n"/>
      <c r="I30" s="10" t="n"/>
      <c r="J30" s="10" t="n"/>
      <c r="K30" s="10" t="n"/>
      <c r="L30" s="10" t="n"/>
    </row>
    <row r="31">
      <c r="A31" s="5" t="n"/>
      <c r="B31" s="5" t="n"/>
      <c r="C31" s="5" t="n"/>
      <c r="D31" s="5" t="n"/>
      <c r="E31" s="5" t="n"/>
      <c r="F31" s="5" t="n"/>
      <c r="G31" s="10" t="n"/>
      <c r="H31" s="10" t="n"/>
      <c r="I31" s="10" t="n"/>
      <c r="J31" s="10" t="n"/>
      <c r="K31" s="10" t="n"/>
      <c r="L31" s="10" t="n"/>
    </row>
    <row r="32">
      <c r="A32" s="5" t="n"/>
      <c r="B32" s="5" t="n"/>
      <c r="C32" s="5" t="n"/>
      <c r="D32" s="5" t="n"/>
      <c r="E32" s="5" t="n"/>
      <c r="F32" s="5" t="n"/>
      <c r="G32" s="10" t="n"/>
      <c r="H32" s="10" t="n"/>
      <c r="I32" s="10" t="n"/>
      <c r="J32" s="10" t="n"/>
      <c r="K32" s="10" t="n"/>
      <c r="L32" s="10" t="n"/>
    </row>
    <row r="33">
      <c r="A33" s="5" t="n"/>
      <c r="B33" s="5" t="n"/>
      <c r="C33" s="5" t="n"/>
      <c r="D33" s="5" t="n"/>
      <c r="E33" s="5" t="n"/>
      <c r="F33" s="5" t="n"/>
      <c r="G33" s="10" t="n"/>
      <c r="H33" s="10" t="n"/>
      <c r="I33" s="10" t="n"/>
      <c r="J33" s="10" t="n"/>
      <c r="K33" s="10" t="n"/>
      <c r="L33" s="10" t="n"/>
    </row>
    <row r="34">
      <c r="A34" s="5" t="n"/>
      <c r="B34" s="5" t="n"/>
      <c r="C34" s="5" t="n"/>
      <c r="D34" s="5" t="n"/>
      <c r="E34" s="5" t="n"/>
      <c r="F34" s="5" t="n"/>
      <c r="G34" s="10" t="n"/>
      <c r="H34" s="10" t="n"/>
      <c r="I34" s="10" t="n"/>
      <c r="J34" s="10" t="n"/>
      <c r="K34" s="10" t="n"/>
      <c r="L34" s="10" t="n"/>
    </row>
    <row r="35">
      <c r="A35" s="5" t="n"/>
      <c r="B35" s="5" t="n"/>
      <c r="C35" s="5" t="n"/>
      <c r="D35" s="5" t="n"/>
      <c r="E35" s="5" t="n"/>
      <c r="F35" s="5" t="n"/>
      <c r="G35" s="10" t="n"/>
      <c r="H35" s="10" t="n"/>
      <c r="I35" s="10" t="n"/>
      <c r="J35" s="10" t="n"/>
      <c r="K35" s="10" t="n"/>
      <c r="L35" s="10" t="n"/>
    </row>
    <row r="36">
      <c r="A36" s="5" t="n"/>
      <c r="B36" s="5" t="n"/>
      <c r="C36" s="5" t="n"/>
      <c r="D36" s="5" t="n"/>
      <c r="E36" s="5" t="n"/>
      <c r="F36" s="5" t="n"/>
      <c r="G36" s="10" t="n"/>
      <c r="H36" s="10" t="n"/>
      <c r="I36" s="10" t="n"/>
      <c r="J36" s="10" t="n"/>
      <c r="K36" s="10" t="n"/>
      <c r="L36" s="10" t="n"/>
    </row>
    <row r="37">
      <c r="A37" s="5" t="n"/>
      <c r="B37" s="5" t="n"/>
      <c r="C37" s="5" t="n"/>
      <c r="D37" s="5" t="n"/>
      <c r="E37" s="5" t="n"/>
      <c r="F37" s="5" t="n"/>
      <c r="G37" s="10" t="n"/>
      <c r="H37" s="10" t="n"/>
      <c r="I37" s="10" t="n"/>
      <c r="J37" s="10" t="n"/>
      <c r="K37" s="10" t="n"/>
      <c r="L37" s="10" t="n"/>
    </row>
    <row r="38">
      <c r="A38" s="5" t="n"/>
      <c r="B38" s="5" t="n"/>
      <c r="C38" s="5" t="n"/>
      <c r="D38" s="5" t="n"/>
      <c r="E38" s="5" t="n"/>
      <c r="F38" s="5" t="n"/>
      <c r="G38" s="10" t="n"/>
      <c r="H38" s="10" t="n"/>
      <c r="I38" s="10" t="n"/>
      <c r="J38" s="10" t="n"/>
      <c r="K38" s="10" t="n"/>
      <c r="L38" s="10" t="n"/>
    </row>
    <row r="39">
      <c r="A39" s="5" t="n"/>
      <c r="B39" s="5" t="n"/>
      <c r="C39" s="5" t="n"/>
      <c r="D39" s="5" t="n"/>
      <c r="E39" s="5" t="n"/>
      <c r="F39" s="5" t="n"/>
      <c r="G39" s="10" t="n"/>
      <c r="H39" s="10" t="n"/>
      <c r="I39" s="10" t="n"/>
      <c r="J39" s="10" t="n"/>
      <c r="K39" s="10" t="n"/>
      <c r="L39" s="10" t="n"/>
    </row>
    <row r="40">
      <c r="A40" s="5" t="n"/>
      <c r="B40" s="5" t="n"/>
      <c r="C40" s="5" t="n"/>
      <c r="D40" s="5" t="n"/>
      <c r="E40" s="5" t="n"/>
      <c r="F40" s="5" t="n"/>
      <c r="G40" s="10" t="n"/>
      <c r="H40" s="10" t="n"/>
      <c r="I40" s="10" t="n"/>
      <c r="J40" s="10" t="n"/>
      <c r="K40" s="10" t="n"/>
      <c r="L40" s="10" t="n"/>
    </row>
    <row r="41">
      <c r="A41" s="5" t="n"/>
      <c r="B41" s="5" t="n"/>
      <c r="C41" s="5" t="n"/>
      <c r="D41" s="5" t="n"/>
      <c r="E41" s="5" t="n"/>
      <c r="F41" s="5" t="n"/>
      <c r="G41" s="10" t="n"/>
      <c r="H41" s="10" t="n"/>
      <c r="I41" s="10" t="n"/>
      <c r="J41" s="10" t="n"/>
      <c r="K41" s="10" t="n"/>
      <c r="L41" s="10" t="n"/>
    </row>
    <row r="42">
      <c r="A42" s="5" t="n"/>
      <c r="B42" s="5" t="n"/>
      <c r="C42" s="5" t="n"/>
      <c r="D42" s="5" t="n"/>
      <c r="E42" s="5" t="n"/>
      <c r="F42" s="5" t="n"/>
      <c r="G42" s="10" t="n"/>
      <c r="H42" s="10" t="n"/>
      <c r="I42" s="10" t="n"/>
      <c r="J42" s="10" t="n"/>
      <c r="K42" s="10" t="n"/>
      <c r="L42" s="10" t="n"/>
    </row>
    <row r="43">
      <c r="A43" s="5" t="n"/>
      <c r="B43" s="5" t="n"/>
      <c r="C43" s="5" t="n"/>
      <c r="D43" s="5" t="n"/>
      <c r="E43" s="5" t="n"/>
      <c r="F43" s="5" t="n"/>
      <c r="G43" s="10" t="n"/>
      <c r="H43" s="10" t="n"/>
      <c r="I43" s="10" t="n"/>
      <c r="J43" s="10" t="n"/>
      <c r="K43" s="10" t="n"/>
      <c r="L43" s="10" t="n"/>
    </row>
    <row r="44">
      <c r="A44" s="5" t="n"/>
      <c r="B44" s="5" t="n"/>
      <c r="C44" s="5" t="n"/>
      <c r="D44" s="5" t="n"/>
      <c r="E44" s="5" t="n"/>
      <c r="F44" s="5" t="n"/>
      <c r="G44" s="10" t="n"/>
      <c r="H44" s="10" t="n"/>
      <c r="I44" s="10" t="n"/>
      <c r="J44" s="10" t="n"/>
      <c r="K44" s="10" t="n"/>
      <c r="L44" s="10" t="n"/>
    </row>
    <row r="45">
      <c r="A45" s="5" t="n"/>
      <c r="B45" s="5" t="n"/>
      <c r="C45" s="5" t="n"/>
      <c r="D45" s="5" t="n"/>
      <c r="E45" s="5" t="n"/>
      <c r="F45" s="5" t="n"/>
      <c r="G45" s="10" t="n"/>
      <c r="H45" s="10" t="n"/>
      <c r="I45" s="10" t="n"/>
      <c r="J45" s="10" t="n"/>
      <c r="K45" s="10" t="n"/>
      <c r="L45" s="10" t="n"/>
    </row>
    <row r="46">
      <c r="A46" s="5" t="n"/>
      <c r="B46" s="5" t="n"/>
      <c r="C46" s="5" t="n"/>
      <c r="D46" s="5" t="n"/>
      <c r="E46" s="5" t="n"/>
      <c r="F46" s="5" t="n"/>
      <c r="G46" s="10" t="n"/>
      <c r="H46" s="10" t="n"/>
      <c r="I46" s="10" t="n"/>
      <c r="J46" s="10" t="n"/>
      <c r="K46" s="10" t="n"/>
      <c r="L46" s="10" t="n"/>
    </row>
    <row r="47">
      <c r="A47" s="5" t="n"/>
      <c r="B47" s="5" t="n"/>
      <c r="C47" s="5" t="n"/>
      <c r="D47" s="5" t="n"/>
      <c r="E47" s="5" t="n"/>
      <c r="F47" s="5" t="n"/>
      <c r="G47" s="10" t="n"/>
      <c r="H47" s="10" t="n"/>
      <c r="I47" s="10" t="n"/>
      <c r="J47" s="10" t="n"/>
      <c r="K47" s="10" t="n"/>
      <c r="L47" s="10" t="n"/>
    </row>
    <row r="48">
      <c r="A48" s="5" t="n"/>
      <c r="B48" s="5" t="n"/>
      <c r="C48" s="5" t="n"/>
      <c r="D48" s="5" t="n"/>
      <c r="E48" s="5" t="n"/>
      <c r="F48" s="5" t="n"/>
      <c r="G48" s="10" t="n"/>
      <c r="H48" s="10" t="n"/>
      <c r="I48" s="10" t="n"/>
      <c r="J48" s="10" t="n"/>
      <c r="K48" s="10" t="n"/>
      <c r="L48" s="10" t="n"/>
    </row>
    <row r="49">
      <c r="A49" s="5" t="n"/>
      <c r="B49" s="5" t="n"/>
      <c r="C49" s="5" t="n"/>
      <c r="D49" s="5" t="n"/>
      <c r="E49" s="5" t="n"/>
      <c r="F49" s="5" t="n"/>
      <c r="G49" s="10" t="n"/>
      <c r="H49" s="10" t="n"/>
      <c r="I49" s="10" t="n"/>
      <c r="J49" s="10" t="n"/>
      <c r="K49" s="10" t="n"/>
      <c r="L49" s="10" t="n"/>
    </row>
    <row r="50">
      <c r="A50" s="5" t="n"/>
      <c r="B50" s="5" t="n"/>
      <c r="C50" s="5" t="n"/>
      <c r="D50" s="5" t="n"/>
      <c r="E50" s="5" t="n"/>
      <c r="F50" s="5" t="n"/>
      <c r="G50" s="10" t="n"/>
      <c r="H50" s="10" t="n"/>
      <c r="I50" s="10" t="n"/>
      <c r="J50" s="10" t="n"/>
      <c r="K50" s="10" t="n"/>
      <c r="L50" s="10" t="n"/>
    </row>
    <row r="51">
      <c r="A51" s="5" t="n"/>
      <c r="B51" s="5" t="n"/>
      <c r="C51" s="5" t="n"/>
      <c r="D51" s="5" t="n"/>
      <c r="E51" s="5" t="n"/>
      <c r="F51" s="5" t="n"/>
      <c r="G51" s="10" t="n"/>
      <c r="H51" s="10" t="n"/>
      <c r="I51" s="10" t="n"/>
      <c r="J51" s="10" t="n"/>
      <c r="K51" s="10" t="n"/>
      <c r="L51" s="10" t="n"/>
    </row>
    <row r="52">
      <c r="A52" s="5" t="n"/>
      <c r="B52" s="5" t="n"/>
      <c r="C52" s="5" t="n"/>
      <c r="D52" s="5" t="n"/>
      <c r="E52" s="5" t="n"/>
      <c r="F52" s="5" t="n"/>
      <c r="G52" s="10" t="n"/>
      <c r="H52" s="10" t="n"/>
      <c r="I52" s="10" t="n"/>
      <c r="J52" s="10" t="n"/>
      <c r="K52" s="10" t="n"/>
      <c r="L52" s="10" t="n"/>
    </row>
    <row r="53">
      <c r="A53" s="5" t="n"/>
      <c r="B53" s="5" t="n"/>
      <c r="C53" s="5" t="n"/>
      <c r="D53" s="5" t="n"/>
      <c r="E53" s="5" t="n"/>
      <c r="F53" s="5" t="n"/>
      <c r="G53" s="10" t="n"/>
      <c r="H53" s="10" t="n"/>
      <c r="I53" s="10" t="n"/>
      <c r="J53" s="10" t="n"/>
      <c r="K53" s="10" t="n"/>
      <c r="L53" s="10" t="n"/>
    </row>
    <row r="54">
      <c r="A54" s="5" t="n"/>
      <c r="B54" s="5" t="n"/>
      <c r="C54" s="5" t="n"/>
      <c r="D54" s="5" t="n"/>
      <c r="E54" s="5" t="n"/>
      <c r="F54" s="5" t="n"/>
      <c r="G54" s="10" t="n"/>
      <c r="H54" s="10" t="n"/>
      <c r="I54" s="10" t="n"/>
      <c r="J54" s="10" t="n"/>
      <c r="K54" s="10" t="n"/>
      <c r="L54" s="10" t="n"/>
    </row>
    <row r="55">
      <c r="A55" s="5" t="n"/>
      <c r="B55" s="5" t="n"/>
      <c r="C55" s="5" t="n"/>
      <c r="D55" s="5" t="n"/>
      <c r="E55" s="5" t="n"/>
      <c r="F55" s="5" t="n"/>
      <c r="G55" s="10" t="n"/>
      <c r="H55" s="10" t="n"/>
      <c r="I55" s="10" t="n"/>
      <c r="J55" s="10" t="n"/>
      <c r="K55" s="10" t="n"/>
      <c r="L55" s="10" t="n"/>
    </row>
    <row r="56">
      <c r="A56" s="5" t="n"/>
      <c r="B56" s="5" t="n"/>
      <c r="C56" s="5" t="n"/>
      <c r="D56" s="5" t="n"/>
      <c r="E56" s="5" t="n"/>
      <c r="F56" s="5" t="n"/>
      <c r="G56" s="10" t="n"/>
      <c r="H56" s="10" t="n"/>
      <c r="I56" s="10" t="n"/>
      <c r="J56" s="10" t="n"/>
      <c r="K56" s="10" t="n"/>
      <c r="L56" s="10" t="n"/>
    </row>
    <row r="57">
      <c r="A57" s="5" t="n"/>
      <c r="B57" s="5" t="n"/>
      <c r="C57" s="5" t="n"/>
      <c r="D57" s="5" t="n"/>
      <c r="E57" s="5" t="n"/>
      <c r="F57" s="5" t="n"/>
      <c r="G57" s="10" t="n"/>
      <c r="H57" s="10" t="n"/>
      <c r="I57" s="10" t="n"/>
      <c r="J57" s="10" t="n"/>
      <c r="K57" s="10" t="n"/>
      <c r="L57" s="10" t="n"/>
    </row>
    <row r="58">
      <c r="A58" s="5" t="n"/>
      <c r="B58" s="5" t="n"/>
      <c r="C58" s="5" t="n"/>
      <c r="D58" s="5" t="n"/>
      <c r="E58" s="5" t="n"/>
      <c r="F58" s="5" t="n"/>
      <c r="G58" s="10" t="n"/>
      <c r="H58" s="10" t="n"/>
      <c r="I58" s="10" t="n"/>
      <c r="J58" s="10" t="n"/>
      <c r="K58" s="10" t="n"/>
      <c r="L58" s="10" t="n"/>
    </row>
    <row r="59">
      <c r="A59" s="5" t="n"/>
      <c r="B59" s="5" t="n"/>
      <c r="C59" s="5" t="n"/>
      <c r="D59" s="5" t="n"/>
      <c r="E59" s="5" t="n"/>
      <c r="F59" s="5" t="n"/>
      <c r="G59" s="10" t="n"/>
      <c r="H59" s="10" t="n"/>
      <c r="I59" s="10" t="n"/>
      <c r="J59" s="10" t="n"/>
      <c r="K59" s="10" t="n"/>
      <c r="L59" s="10" t="n"/>
    </row>
    <row r="60">
      <c r="A60" s="5" t="n"/>
      <c r="B60" s="5" t="n"/>
      <c r="C60" s="5" t="n"/>
      <c r="D60" s="5" t="n"/>
      <c r="E60" s="5" t="n"/>
      <c r="F60" s="5" t="n"/>
      <c r="G60" s="10" t="n"/>
      <c r="H60" s="10" t="n"/>
      <c r="I60" s="10" t="n"/>
      <c r="J60" s="10" t="n"/>
      <c r="K60" s="10" t="n"/>
      <c r="L60" s="10" t="n"/>
    </row>
    <row r="61">
      <c r="A61" s="5" t="n"/>
      <c r="B61" s="5" t="n"/>
      <c r="C61" s="5" t="n"/>
      <c r="D61" s="5" t="n"/>
      <c r="E61" s="5" t="n"/>
      <c r="F61" s="5" t="n"/>
      <c r="G61" s="10" t="n"/>
      <c r="H61" s="10" t="n"/>
      <c r="I61" s="10" t="n"/>
      <c r="J61" s="10" t="n"/>
      <c r="K61" s="10" t="n"/>
      <c r="L61" s="10" t="n"/>
    </row>
    <row r="62">
      <c r="A62" s="5" t="n"/>
      <c r="B62" s="5" t="n"/>
      <c r="C62" s="5" t="n"/>
      <c r="D62" s="5" t="n"/>
      <c r="E62" s="5" t="n"/>
      <c r="F62" s="5" t="n"/>
      <c r="G62" s="10" t="n"/>
      <c r="H62" s="10" t="n"/>
      <c r="I62" s="10" t="n"/>
      <c r="J62" s="10" t="n"/>
      <c r="K62" s="10" t="n"/>
      <c r="L62" s="10" t="n"/>
    </row>
    <row r="63">
      <c r="A63" s="5" t="n"/>
      <c r="B63" s="5" t="n"/>
      <c r="C63" s="5" t="n"/>
      <c r="D63" s="5" t="n"/>
      <c r="E63" s="5" t="n"/>
      <c r="F63" s="5" t="n"/>
      <c r="G63" s="10" t="n"/>
      <c r="H63" s="10" t="n"/>
      <c r="I63" s="10" t="n"/>
      <c r="J63" s="10" t="n"/>
      <c r="K63" s="10" t="n"/>
      <c r="L63" s="10" t="n"/>
    </row>
    <row r="64">
      <c r="A64" s="5" t="n"/>
      <c r="B64" s="5" t="n"/>
      <c r="C64" s="5" t="n"/>
      <c r="D64" s="5" t="n"/>
      <c r="E64" s="5" t="n"/>
      <c r="F64" s="5" t="n"/>
      <c r="G64" s="10" t="n"/>
      <c r="H64" s="10" t="n"/>
      <c r="I64" s="10" t="n"/>
      <c r="J64" s="10" t="n"/>
      <c r="K64" s="10" t="n"/>
      <c r="L64" s="10" t="n"/>
    </row>
    <row r="65">
      <c r="A65" s="5" t="n"/>
      <c r="B65" s="5" t="n"/>
      <c r="C65" s="5" t="n"/>
      <c r="D65" s="5" t="n"/>
      <c r="E65" s="5" t="n"/>
      <c r="F65" s="5" t="n"/>
      <c r="G65" s="10" t="n"/>
      <c r="H65" s="10" t="n"/>
      <c r="I65" s="10" t="n"/>
      <c r="J65" s="10" t="n"/>
      <c r="K65" s="10" t="n"/>
      <c r="L65" s="10" t="n"/>
    </row>
    <row r="66">
      <c r="A66" s="5" t="n"/>
      <c r="B66" s="5" t="n"/>
      <c r="C66" s="5" t="n"/>
      <c r="D66" s="5" t="n"/>
      <c r="E66" s="5" t="n"/>
      <c r="F66" s="5" t="n"/>
      <c r="G66" s="10" t="n"/>
      <c r="H66" s="10" t="n"/>
      <c r="I66" s="10" t="n"/>
      <c r="J66" s="10" t="n"/>
      <c r="K66" s="10" t="n"/>
      <c r="L66" s="10" t="n"/>
    </row>
    <row r="67">
      <c r="A67" s="5" t="n"/>
      <c r="B67" s="5" t="n"/>
      <c r="C67" s="5" t="n"/>
      <c r="D67" s="5" t="n"/>
      <c r="E67" s="5" t="n"/>
      <c r="F67" s="5" t="n"/>
      <c r="G67" s="10" t="n"/>
      <c r="H67" s="10" t="n"/>
      <c r="I67" s="10" t="n"/>
      <c r="J67" s="10" t="n"/>
      <c r="K67" s="10" t="n"/>
      <c r="L67" s="10" t="n"/>
    </row>
    <row r="68">
      <c r="A68" s="5" t="n"/>
      <c r="B68" s="5" t="n"/>
      <c r="C68" s="5" t="n"/>
      <c r="D68" s="5" t="n"/>
      <c r="E68" s="5" t="n"/>
      <c r="F68" s="5" t="n"/>
      <c r="G68" s="10" t="n"/>
      <c r="H68" s="10" t="n"/>
      <c r="I68" s="10" t="n"/>
      <c r="J68" s="10" t="n"/>
      <c r="K68" s="10" t="n"/>
      <c r="L68" s="10" t="n"/>
    </row>
    <row r="69">
      <c r="A69" s="5" t="n"/>
      <c r="B69" s="5" t="n"/>
      <c r="C69" s="5" t="n"/>
      <c r="D69" s="5" t="n"/>
      <c r="E69" s="5" t="n"/>
      <c r="F69" s="5" t="n"/>
      <c r="G69" s="10" t="n"/>
      <c r="H69" s="10" t="n"/>
      <c r="I69" s="10" t="n"/>
      <c r="J69" s="10" t="n"/>
      <c r="K69" s="10" t="n"/>
      <c r="L69" s="10" t="n"/>
    </row>
    <row r="70">
      <c r="A70" s="5" t="n"/>
      <c r="B70" s="5" t="n"/>
      <c r="C70" s="5" t="n"/>
      <c r="D70" s="5" t="n"/>
      <c r="E70" s="5" t="n"/>
      <c r="F70" s="5" t="n"/>
      <c r="G70" s="10" t="n"/>
      <c r="H70" s="10" t="n"/>
      <c r="I70" s="10" t="n"/>
      <c r="J70" s="10" t="n"/>
      <c r="K70" s="10" t="n"/>
      <c r="L70" s="10" t="n"/>
    </row>
    <row r="71">
      <c r="A71" s="5" t="n"/>
      <c r="B71" s="5" t="n"/>
      <c r="C71" s="5" t="n"/>
      <c r="D71" s="5" t="n"/>
      <c r="E71" s="5" t="n"/>
      <c r="F71" s="5" t="n"/>
      <c r="G71" s="10" t="n"/>
      <c r="H71" s="10" t="n"/>
      <c r="I71" s="10" t="n"/>
      <c r="J71" s="10" t="n"/>
      <c r="K71" s="10" t="n"/>
      <c r="L71" s="10" t="n"/>
    </row>
    <row r="72">
      <c r="A72" s="5" t="n"/>
      <c r="B72" s="5" t="n"/>
      <c r="C72" s="5" t="n"/>
      <c r="D72" s="5" t="n"/>
      <c r="E72" s="5" t="n"/>
      <c r="F72" s="5" t="n"/>
      <c r="G72" s="10" t="n"/>
      <c r="H72" s="10" t="n"/>
      <c r="I72" s="10" t="n"/>
      <c r="J72" s="10" t="n"/>
      <c r="K72" s="10" t="n"/>
      <c r="L72" s="10" t="n"/>
    </row>
    <row r="73">
      <c r="A73" s="5" t="n"/>
      <c r="B73" s="5" t="n"/>
      <c r="C73" s="5" t="n"/>
      <c r="D73" s="5" t="n"/>
      <c r="E73" s="5" t="n"/>
      <c r="F73" s="5" t="n"/>
      <c r="G73" s="10" t="n"/>
      <c r="H73" s="10" t="n"/>
      <c r="I73" s="10" t="n"/>
      <c r="J73" s="10" t="n"/>
      <c r="K73" s="10" t="n"/>
      <c r="L73" s="10" t="n"/>
    </row>
    <row r="74">
      <c r="A74" s="5" t="n"/>
      <c r="B74" s="5" t="n"/>
      <c r="C74" s="5" t="n"/>
      <c r="D74" s="5" t="n"/>
      <c r="E74" s="5" t="n"/>
      <c r="F74" s="5" t="n"/>
      <c r="G74" s="10" t="n"/>
      <c r="H74" s="10" t="n"/>
      <c r="I74" s="10" t="n"/>
      <c r="J74" s="10" t="n"/>
      <c r="K74" s="10" t="n"/>
      <c r="L74" s="10" t="n"/>
    </row>
    <row r="75">
      <c r="A75" s="5" t="n"/>
      <c r="B75" s="5" t="n"/>
      <c r="C75" s="5" t="n"/>
      <c r="D75" s="5" t="n"/>
      <c r="E75" s="5" t="n"/>
      <c r="F75" s="5" t="n"/>
      <c r="G75" s="10" t="n"/>
      <c r="H75" s="10" t="n"/>
      <c r="I75" s="10" t="n"/>
      <c r="J75" s="10" t="n"/>
      <c r="K75" s="10" t="n"/>
      <c r="L75" s="10" t="n"/>
    </row>
    <row r="76">
      <c r="A76" s="5" t="n"/>
      <c r="B76" s="5" t="n"/>
      <c r="C76" s="5" t="n"/>
      <c r="D76" s="5" t="n"/>
      <c r="E76" s="5" t="n"/>
      <c r="F76" s="5" t="n"/>
      <c r="G76" s="10" t="n"/>
      <c r="H76" s="10" t="n"/>
      <c r="I76" s="10" t="n"/>
      <c r="J76" s="10" t="n"/>
      <c r="K76" s="10" t="n"/>
      <c r="L76" s="10" t="n"/>
    </row>
    <row r="77">
      <c r="A77" s="5" t="n"/>
      <c r="B77" s="5" t="n"/>
      <c r="C77" s="5" t="n"/>
      <c r="D77" s="5" t="n"/>
      <c r="E77" s="5" t="n"/>
      <c r="F77" s="5" t="n"/>
      <c r="G77" s="10" t="n"/>
      <c r="H77" s="10" t="n"/>
      <c r="I77" s="10" t="n"/>
      <c r="J77" s="10" t="n"/>
      <c r="K77" s="10" t="n"/>
      <c r="L77" s="10" t="n"/>
    </row>
    <row r="78">
      <c r="A78" s="5" t="n"/>
      <c r="B78" s="5" t="n"/>
      <c r="C78" s="5" t="n"/>
      <c r="D78" s="5" t="n"/>
      <c r="E78" s="5" t="n"/>
      <c r="F78" s="5" t="n"/>
      <c r="G78" s="10" t="n"/>
      <c r="H78" s="10" t="n"/>
      <c r="I78" s="10" t="n"/>
      <c r="J78" s="10" t="n"/>
      <c r="K78" s="10" t="n"/>
      <c r="L78" s="10" t="n"/>
    </row>
    <row r="79">
      <c r="A79" s="5" t="n"/>
      <c r="B79" s="5" t="n"/>
      <c r="C79" s="5" t="n"/>
      <c r="D79" s="5" t="n"/>
      <c r="E79" s="5" t="n"/>
      <c r="F79" s="5" t="n"/>
      <c r="G79" s="10" t="n"/>
      <c r="H79" s="10" t="n"/>
      <c r="I79" s="10" t="n"/>
      <c r="J79" s="10" t="n"/>
      <c r="K79" s="10" t="n"/>
      <c r="L79" s="10" t="n"/>
    </row>
    <row r="80">
      <c r="A80" s="5" t="n"/>
      <c r="B80" s="5" t="n"/>
      <c r="C80" s="5" t="n"/>
      <c r="D80" s="5" t="n"/>
      <c r="E80" s="5" t="n"/>
      <c r="F80" s="5" t="n"/>
      <c r="G80" s="10" t="n"/>
      <c r="H80" s="10" t="n"/>
      <c r="I80" s="10" t="n"/>
      <c r="J80" s="10" t="n"/>
      <c r="K80" s="10" t="n"/>
      <c r="L80" s="10" t="n"/>
    </row>
    <row r="81">
      <c r="A81" s="5" t="n"/>
      <c r="B81" s="5" t="n"/>
      <c r="C81" s="5" t="n"/>
      <c r="D81" s="5" t="n"/>
      <c r="E81" s="5" t="n"/>
      <c r="F81" s="5" t="n"/>
      <c r="G81" s="10" t="n"/>
      <c r="H81" s="10" t="n"/>
      <c r="I81" s="10" t="n"/>
      <c r="J81" s="10" t="n"/>
      <c r="K81" s="10" t="n"/>
      <c r="L81" s="10" t="n"/>
    </row>
    <row r="82">
      <c r="A82" s="5" t="n"/>
      <c r="B82" s="5" t="n"/>
      <c r="C82" s="5" t="n"/>
      <c r="D82" s="5" t="n"/>
      <c r="E82" s="5" t="n"/>
      <c r="F82" s="5" t="n"/>
      <c r="G82" s="10" t="n"/>
      <c r="H82" s="10" t="n"/>
      <c r="I82" s="10" t="n"/>
      <c r="J82" s="10" t="n"/>
      <c r="K82" s="10" t="n"/>
      <c r="L82" s="10" t="n"/>
    </row>
    <row r="83">
      <c r="A83" s="5" t="n"/>
      <c r="B83" s="5" t="n"/>
      <c r="C83" s="5" t="n"/>
      <c r="D83" s="5" t="n"/>
      <c r="E83" s="5" t="n"/>
      <c r="F83" s="5" t="n"/>
      <c r="G83" s="10" t="n"/>
      <c r="H83" s="10" t="n"/>
      <c r="I83" s="10" t="n"/>
      <c r="J83" s="10" t="n"/>
      <c r="K83" s="10" t="n"/>
      <c r="L83" s="10" t="n"/>
    </row>
    <row r="84">
      <c r="A84" s="5" t="n"/>
      <c r="B84" s="5" t="n"/>
      <c r="C84" s="5" t="n"/>
      <c r="D84" s="5" t="n"/>
      <c r="E84" s="5" t="n"/>
      <c r="F84" s="5" t="n"/>
      <c r="G84" s="10" t="n"/>
      <c r="H84" s="10" t="n"/>
      <c r="I84" s="10" t="n"/>
      <c r="J84" s="10" t="n"/>
      <c r="K84" s="10" t="n"/>
      <c r="L84" s="10" t="n"/>
    </row>
    <row r="85">
      <c r="A85" s="5" t="n"/>
      <c r="B85" s="5" t="n"/>
      <c r="C85" s="5" t="n"/>
      <c r="D85" s="5" t="n"/>
      <c r="E85" s="5" t="n"/>
      <c r="F85" s="5" t="n"/>
      <c r="G85" s="10" t="n"/>
      <c r="H85" s="10" t="n"/>
      <c r="I85" s="10" t="n"/>
      <c r="J85" s="10" t="n"/>
      <c r="K85" s="10" t="n"/>
      <c r="L85" s="10" t="n"/>
    </row>
    <row r="86">
      <c r="A86" s="5" t="n"/>
      <c r="B86" s="5" t="n"/>
      <c r="C86" s="5" t="n"/>
      <c r="D86" s="5" t="n"/>
      <c r="E86" s="5" t="n"/>
      <c r="F86" s="5" t="n"/>
      <c r="G86" s="10" t="n"/>
      <c r="H86" s="10" t="n"/>
      <c r="I86" s="10" t="n"/>
      <c r="J86" s="10" t="n"/>
      <c r="K86" s="10" t="n"/>
      <c r="L86" s="10" t="n"/>
    </row>
    <row r="87">
      <c r="A87" s="5" t="n"/>
      <c r="B87" s="5" t="n"/>
      <c r="C87" s="5" t="n"/>
      <c r="D87" s="5" t="n"/>
      <c r="E87" s="5" t="n"/>
      <c r="F87" s="5" t="n"/>
      <c r="G87" s="10" t="n"/>
      <c r="H87" s="10" t="n"/>
      <c r="I87" s="10" t="n"/>
      <c r="J87" s="10" t="n"/>
      <c r="K87" s="10" t="n"/>
      <c r="L87" s="10" t="n"/>
    </row>
    <row r="88">
      <c r="A88" s="5" t="n"/>
      <c r="B88" s="5" t="n"/>
      <c r="C88" s="5" t="n"/>
      <c r="D88" s="5" t="n"/>
      <c r="E88" s="5" t="n"/>
      <c r="F88" s="5" t="n"/>
      <c r="G88" s="10" t="n"/>
      <c r="H88" s="10" t="n"/>
      <c r="I88" s="10" t="n"/>
      <c r="J88" s="10" t="n"/>
      <c r="K88" s="10" t="n"/>
      <c r="L88" s="10" t="n"/>
    </row>
    <row r="89">
      <c r="A89" s="5" t="n"/>
      <c r="B89" s="5" t="n"/>
      <c r="C89" s="5" t="n"/>
      <c r="D89" s="5" t="n"/>
      <c r="E89" s="5" t="n"/>
      <c r="F89" s="5" t="n"/>
      <c r="G89" s="10" t="n"/>
      <c r="H89" s="10" t="n"/>
      <c r="I89" s="10" t="n"/>
      <c r="J89" s="10" t="n"/>
      <c r="K89" s="10" t="n"/>
      <c r="L89" s="10" t="n"/>
    </row>
    <row r="90">
      <c r="A90" s="5" t="n"/>
      <c r="B90" s="5" t="n"/>
      <c r="C90" s="5" t="n"/>
      <c r="D90" s="5" t="n"/>
      <c r="E90" s="5" t="n"/>
      <c r="F90" s="5" t="n"/>
      <c r="G90" s="10" t="n"/>
      <c r="H90" s="10" t="n"/>
      <c r="I90" s="10" t="n"/>
      <c r="J90" s="10" t="n"/>
      <c r="K90" s="10" t="n"/>
      <c r="L90" s="10" t="n"/>
    </row>
    <row r="91">
      <c r="A91" s="5" t="n"/>
      <c r="B91" s="5" t="n"/>
      <c r="C91" s="5" t="n"/>
      <c r="D91" s="5" t="n"/>
      <c r="E91" s="5" t="n"/>
      <c r="F91" s="5" t="n"/>
      <c r="G91" s="10" t="n"/>
      <c r="H91" s="10" t="n"/>
      <c r="I91" s="10" t="n"/>
      <c r="J91" s="10" t="n"/>
      <c r="K91" s="10" t="n"/>
      <c r="L91" s="10" t="n"/>
    </row>
    <row r="92">
      <c r="A92" s="5" t="n"/>
      <c r="B92" s="5" t="n"/>
      <c r="C92" s="5" t="n"/>
      <c r="D92" s="5" t="n"/>
      <c r="E92" s="5" t="n"/>
      <c r="F92" s="5" t="n"/>
      <c r="G92" s="10" t="n"/>
      <c r="H92" s="10" t="n"/>
      <c r="I92" s="10" t="n"/>
      <c r="J92" s="10" t="n"/>
      <c r="K92" s="10" t="n"/>
      <c r="L92" s="10" t="n"/>
    </row>
    <row r="93">
      <c r="A93" s="5" t="n"/>
      <c r="B93" s="5" t="n"/>
      <c r="C93" s="5" t="n"/>
      <c r="D93" s="5" t="n"/>
      <c r="E93" s="5" t="n"/>
      <c r="F93" s="5" t="n"/>
      <c r="G93" s="10" t="n"/>
      <c r="H93" s="10" t="n"/>
      <c r="I93" s="10" t="n"/>
      <c r="J93" s="10" t="n"/>
      <c r="K93" s="10" t="n"/>
      <c r="L93" s="10" t="n"/>
    </row>
    <row r="94">
      <c r="A94" s="5" t="n"/>
      <c r="B94" s="5" t="n"/>
      <c r="C94" s="5" t="n"/>
      <c r="D94" s="5" t="n"/>
      <c r="E94" s="5" t="n"/>
      <c r="F94" s="5" t="n"/>
      <c r="G94" s="10" t="n"/>
      <c r="H94" s="10" t="n"/>
      <c r="I94" s="10" t="n"/>
      <c r="J94" s="10" t="n"/>
      <c r="K94" s="10" t="n"/>
      <c r="L94" s="10" t="n"/>
    </row>
    <row r="95">
      <c r="A95" s="5" t="n"/>
      <c r="B95" s="5" t="n"/>
      <c r="C95" s="5" t="n"/>
      <c r="D95" s="5" t="n"/>
      <c r="E95" s="5" t="n"/>
      <c r="F95" s="5" t="n"/>
      <c r="G95" s="10" t="n"/>
      <c r="H95" s="10" t="n"/>
      <c r="I95" s="10" t="n"/>
      <c r="J95" s="10" t="n"/>
      <c r="K95" s="10" t="n"/>
      <c r="L95" s="10" t="n"/>
    </row>
    <row r="96">
      <c r="A96" s="5" t="n"/>
      <c r="B96" s="5" t="n"/>
      <c r="C96" s="5" t="n"/>
      <c r="D96" s="5" t="n"/>
      <c r="E96" s="5" t="n"/>
      <c r="F96" s="5" t="n"/>
      <c r="G96" s="10" t="n"/>
      <c r="H96" s="10" t="n"/>
      <c r="I96" s="10" t="n"/>
      <c r="J96" s="10" t="n"/>
      <c r="K96" s="10" t="n"/>
      <c r="L96" s="10" t="n"/>
    </row>
    <row r="97">
      <c r="A97" s="5" t="n"/>
      <c r="B97" s="5" t="n"/>
      <c r="C97" s="5" t="n"/>
      <c r="D97" s="5" t="n"/>
      <c r="E97" s="5" t="n"/>
      <c r="F97" s="5" t="n"/>
      <c r="G97" s="10" t="n"/>
      <c r="H97" s="10" t="n"/>
      <c r="I97" s="10" t="n"/>
      <c r="J97" s="10" t="n"/>
      <c r="K97" s="10" t="n"/>
      <c r="L97" s="10" t="n"/>
    </row>
    <row r="98">
      <c r="A98" s="5" t="n"/>
      <c r="B98" s="5" t="n"/>
      <c r="C98" s="5" t="n"/>
      <c r="D98" s="5" t="n"/>
      <c r="E98" s="5" t="n"/>
      <c r="F98" s="5" t="n"/>
      <c r="G98" s="10" t="n"/>
      <c r="H98" s="10" t="n"/>
      <c r="I98" s="10" t="n"/>
      <c r="J98" s="10" t="n"/>
      <c r="K98" s="10" t="n"/>
      <c r="L98" s="10" t="n"/>
    </row>
    <row r="99">
      <c r="A99" s="5" t="n"/>
      <c r="B99" s="5" t="n"/>
      <c r="C99" s="5" t="n"/>
      <c r="D99" s="5" t="n"/>
      <c r="E99" s="5" t="n"/>
      <c r="F99" s="5" t="n"/>
      <c r="G99" s="10" t="n"/>
      <c r="H99" s="10" t="n"/>
      <c r="I99" s="10" t="n"/>
      <c r="J99" s="10" t="n"/>
      <c r="K99" s="10" t="n"/>
      <c r="L99" s="10" t="n"/>
    </row>
    <row r="100">
      <c r="A100" s="5" t="n"/>
      <c r="B100" s="5" t="n"/>
      <c r="C100" s="5" t="n"/>
      <c r="D100" s="5" t="n"/>
      <c r="E100" s="5" t="n"/>
      <c r="F100" s="5" t="n"/>
      <c r="G100" s="10" t="n"/>
      <c r="H100" s="10" t="n"/>
      <c r="I100" s="10" t="n"/>
      <c r="J100" s="10" t="n"/>
      <c r="K100" s="10" t="n"/>
      <c r="L100" s="10" t="n"/>
    </row>
    <row r="101">
      <c r="A101" s="5" t="n"/>
      <c r="B101" s="5" t="n"/>
      <c r="C101" s="5" t="n"/>
      <c r="D101" s="5" t="n"/>
      <c r="E101" s="5" t="n"/>
      <c r="F101" s="5" t="n"/>
      <c r="G101" s="10" t="n"/>
      <c r="H101" s="10" t="n"/>
      <c r="I101" s="10" t="n"/>
      <c r="J101" s="10" t="n"/>
      <c r="K101" s="10" t="n"/>
      <c r="L101" s="10" t="n"/>
    </row>
    <row r="102">
      <c r="A102" s="5" t="n"/>
      <c r="B102" s="5" t="n"/>
      <c r="C102" s="5" t="n"/>
      <c r="D102" s="5" t="n"/>
      <c r="E102" s="5" t="n"/>
      <c r="F102" s="5" t="n"/>
      <c r="G102" s="10" t="n"/>
      <c r="H102" s="10" t="n"/>
      <c r="I102" s="10" t="n"/>
      <c r="J102" s="10" t="n"/>
      <c r="K102" s="10" t="n"/>
      <c r="L102" s="10" t="n"/>
    </row>
    <row r="103">
      <c r="A103" s="5" t="n"/>
      <c r="B103" s="5" t="n"/>
      <c r="C103" s="5" t="n"/>
      <c r="D103" s="5" t="n"/>
      <c r="E103" s="5" t="n"/>
      <c r="F103" s="5" t="n"/>
      <c r="G103" s="10" t="n"/>
      <c r="H103" s="10" t="n"/>
      <c r="I103" s="10" t="n"/>
      <c r="J103" s="10" t="n"/>
      <c r="K103" s="10" t="n"/>
      <c r="L103" s="10" t="n"/>
    </row>
    <row r="104">
      <c r="A104" s="5" t="n"/>
      <c r="B104" s="5" t="n"/>
      <c r="C104" s="5" t="n"/>
      <c r="D104" s="5" t="n"/>
      <c r="E104" s="5" t="n"/>
      <c r="F104" s="5" t="n"/>
      <c r="G104" s="10" t="n"/>
      <c r="H104" s="10" t="n"/>
      <c r="I104" s="10" t="n"/>
      <c r="J104" s="10" t="n"/>
      <c r="K104" s="10" t="n"/>
      <c r="L104" s="10" t="n"/>
    </row>
    <row r="105">
      <c r="A105" s="5" t="n"/>
      <c r="B105" s="5" t="n"/>
      <c r="C105" s="5" t="n"/>
      <c r="D105" s="5" t="n"/>
      <c r="E105" s="5" t="n"/>
      <c r="F105" s="5" t="n"/>
      <c r="G105" s="10" t="n"/>
      <c r="H105" s="10" t="n"/>
      <c r="I105" s="10" t="n"/>
      <c r="J105" s="10" t="n"/>
      <c r="K105" s="10" t="n"/>
      <c r="L105" s="10" t="n"/>
    </row>
    <row r="106">
      <c r="A106" s="5" t="n"/>
      <c r="B106" s="5" t="n"/>
      <c r="C106" s="5" t="n"/>
      <c r="D106" s="5" t="n"/>
      <c r="E106" s="5" t="n"/>
      <c r="F106" s="5" t="n"/>
      <c r="G106" s="10" t="n"/>
      <c r="H106" s="10" t="n"/>
      <c r="I106" s="10" t="n"/>
      <c r="J106" s="10" t="n"/>
      <c r="K106" s="10" t="n"/>
      <c r="L106" s="10" t="n"/>
    </row>
    <row r="107">
      <c r="A107" s="5" t="n"/>
      <c r="B107" s="5" t="n"/>
      <c r="C107" s="5" t="n"/>
      <c r="D107" s="5" t="n"/>
      <c r="E107" s="5" t="n"/>
      <c r="F107" s="5" t="n"/>
      <c r="G107" s="10" t="n"/>
      <c r="H107" s="10" t="n"/>
      <c r="I107" s="10" t="n"/>
      <c r="J107" s="10" t="n"/>
      <c r="K107" s="10" t="n"/>
      <c r="L107" s="10" t="n"/>
    </row>
    <row r="108">
      <c r="A108" s="5" t="n"/>
      <c r="B108" s="5" t="n"/>
      <c r="C108" s="5" t="n"/>
      <c r="D108" s="5" t="n"/>
      <c r="E108" s="5" t="n"/>
      <c r="F108" s="5" t="n"/>
      <c r="G108" s="10" t="n"/>
      <c r="H108" s="10" t="n"/>
      <c r="I108" s="10" t="n"/>
      <c r="J108" s="10" t="n"/>
      <c r="K108" s="10" t="n"/>
      <c r="L108" s="10" t="n"/>
    </row>
    <row r="109">
      <c r="A109" s="5" t="n"/>
      <c r="B109" s="5" t="n"/>
      <c r="C109" s="5" t="n"/>
      <c r="D109" s="5" t="n"/>
      <c r="E109" s="5" t="n"/>
      <c r="F109" s="5" t="n"/>
      <c r="G109" s="10" t="n"/>
      <c r="H109" s="10" t="n"/>
      <c r="I109" s="10" t="n"/>
      <c r="J109" s="10" t="n"/>
      <c r="K109" s="10" t="n"/>
      <c r="L109" s="10" t="n"/>
    </row>
    <row r="110">
      <c r="A110" s="5" t="n"/>
      <c r="B110" s="5" t="n"/>
      <c r="C110" s="5" t="n"/>
      <c r="D110" s="5" t="n"/>
      <c r="E110" s="5" t="n"/>
      <c r="F110" s="5" t="n"/>
      <c r="G110" s="10" t="n"/>
      <c r="H110" s="10" t="n"/>
      <c r="I110" s="10" t="n"/>
      <c r="J110" s="10" t="n"/>
      <c r="K110" s="10" t="n"/>
      <c r="L110" s="10" t="n"/>
    </row>
    <row r="111">
      <c r="A111" s="5" t="n"/>
      <c r="B111" s="5" t="n"/>
      <c r="C111" s="5" t="n"/>
      <c r="D111" s="5" t="n"/>
      <c r="E111" s="5" t="n"/>
      <c r="F111" s="5" t="n"/>
      <c r="G111" s="10" t="n"/>
      <c r="H111" s="10" t="n"/>
      <c r="I111" s="10" t="n"/>
      <c r="J111" s="10" t="n"/>
      <c r="K111" s="10" t="n"/>
      <c r="L111" s="10" t="n"/>
    </row>
    <row r="112">
      <c r="A112" s="5" t="n"/>
      <c r="B112" s="5" t="n"/>
      <c r="C112" s="5" t="n"/>
      <c r="D112" s="5" t="n"/>
      <c r="E112" s="5" t="n"/>
      <c r="F112" s="5" t="n"/>
      <c r="G112" s="10" t="n"/>
      <c r="H112" s="10" t="n"/>
      <c r="I112" s="10" t="n"/>
      <c r="J112" s="10" t="n"/>
      <c r="K112" s="10" t="n"/>
      <c r="L112" s="10" t="n"/>
    </row>
    <row r="113">
      <c r="A113" s="5" t="n"/>
      <c r="B113" s="5" t="n"/>
      <c r="C113" s="5" t="n"/>
      <c r="D113" s="5" t="n"/>
      <c r="E113" s="5" t="n"/>
      <c r="F113" s="5" t="n"/>
      <c r="G113" s="10" t="n"/>
      <c r="H113" s="10" t="n"/>
      <c r="I113" s="10" t="n"/>
      <c r="J113" s="10" t="n"/>
      <c r="K113" s="10" t="n"/>
      <c r="L113" s="10" t="n"/>
    </row>
    <row r="114">
      <c r="A114" s="5" t="n"/>
      <c r="B114" s="5" t="n"/>
      <c r="C114" s="5" t="n"/>
      <c r="D114" s="5" t="n"/>
      <c r="E114" s="5" t="n"/>
      <c r="F114" s="5" t="n"/>
      <c r="G114" s="10" t="n"/>
      <c r="H114" s="10" t="n"/>
      <c r="I114" s="10" t="n"/>
      <c r="J114" s="10" t="n"/>
      <c r="K114" s="10" t="n"/>
      <c r="L114" s="10" t="n"/>
    </row>
    <row r="115">
      <c r="A115" s="5" t="n"/>
      <c r="B115" s="5" t="n"/>
      <c r="C115" s="5" t="n"/>
      <c r="D115" s="5" t="n"/>
      <c r="E115" s="5" t="n"/>
      <c r="F115" s="5" t="n"/>
      <c r="G115" s="10" t="n"/>
      <c r="H115" s="10" t="n"/>
      <c r="I115" s="10" t="n"/>
      <c r="J115" s="10" t="n"/>
      <c r="K115" s="10" t="n"/>
      <c r="L115" s="10" t="n"/>
    </row>
    <row r="116">
      <c r="A116" s="5" t="n"/>
      <c r="B116" s="5" t="n"/>
      <c r="C116" s="5" t="n"/>
      <c r="D116" s="5" t="n"/>
      <c r="E116" s="5" t="n"/>
      <c r="F116" s="5" t="n"/>
      <c r="G116" s="10" t="n"/>
      <c r="H116" s="10" t="n"/>
      <c r="I116" s="10" t="n"/>
      <c r="J116" s="10" t="n"/>
      <c r="K116" s="10" t="n"/>
      <c r="L116" s="10" t="n"/>
    </row>
    <row r="117">
      <c r="A117" s="5" t="n"/>
      <c r="B117" s="5" t="n"/>
      <c r="C117" s="5" t="n"/>
      <c r="D117" s="5" t="n"/>
      <c r="E117" s="5" t="n"/>
      <c r="F117" s="5" t="n"/>
      <c r="G117" s="10" t="n"/>
      <c r="H117" s="10" t="n"/>
      <c r="I117" s="10" t="n"/>
      <c r="J117" s="10" t="n"/>
      <c r="K117" s="10" t="n"/>
      <c r="L117" s="10" t="n"/>
    </row>
    <row r="118">
      <c r="A118" s="5" t="n"/>
      <c r="B118" s="5" t="n"/>
      <c r="C118" s="5" t="n"/>
      <c r="D118" s="5" t="n"/>
      <c r="E118" s="5" t="n"/>
      <c r="F118" s="5" t="n"/>
      <c r="G118" s="10" t="n"/>
      <c r="H118" s="10" t="n"/>
      <c r="I118" s="10" t="n"/>
      <c r="J118" s="10" t="n"/>
      <c r="K118" s="10" t="n"/>
      <c r="L118" s="10" t="n"/>
    </row>
    <row r="119">
      <c r="A119" s="5" t="n"/>
      <c r="B119" s="5" t="n"/>
      <c r="C119" s="5" t="n"/>
      <c r="D119" s="5" t="n"/>
      <c r="E119" s="5" t="n"/>
      <c r="F119" s="5" t="n"/>
      <c r="G119" s="10" t="n"/>
      <c r="H119" s="10" t="n"/>
      <c r="I119" s="10" t="n"/>
      <c r="J119" s="10" t="n"/>
      <c r="K119" s="10" t="n"/>
      <c r="L119" s="10" t="n"/>
    </row>
    <row r="120">
      <c r="A120" s="5" t="n"/>
      <c r="B120" s="5" t="n"/>
      <c r="C120" s="5" t="n"/>
      <c r="D120" s="5" t="n"/>
      <c r="E120" s="5" t="n"/>
      <c r="F120" s="5" t="n"/>
      <c r="G120" s="10" t="n"/>
      <c r="H120" s="10" t="n"/>
      <c r="I120" s="10" t="n"/>
      <c r="J120" s="10" t="n"/>
      <c r="K120" s="10" t="n"/>
      <c r="L120" s="10" t="n"/>
    </row>
    <row r="121">
      <c r="A121" s="5" t="n"/>
      <c r="B121" s="5" t="n"/>
      <c r="C121" s="5" t="n"/>
      <c r="D121" s="5" t="n"/>
      <c r="E121" s="5" t="n"/>
      <c r="F121" s="5" t="n"/>
      <c r="G121" s="10" t="n"/>
      <c r="H121" s="10" t="n"/>
      <c r="I121" s="10" t="n"/>
      <c r="J121" s="10" t="n"/>
      <c r="K121" s="10" t="n"/>
      <c r="L121" s="10" t="n"/>
    </row>
    <row r="122">
      <c r="A122" s="5" t="n"/>
      <c r="B122" s="5" t="n"/>
      <c r="C122" s="5" t="n"/>
      <c r="D122" s="5" t="n"/>
      <c r="E122" s="5" t="n"/>
      <c r="F122" s="5" t="n"/>
      <c r="G122" s="10" t="n"/>
      <c r="H122" s="10" t="n"/>
      <c r="I122" s="10" t="n"/>
      <c r="J122" s="10" t="n"/>
      <c r="K122" s="10" t="n"/>
      <c r="L122" s="10" t="n"/>
    </row>
    <row r="123">
      <c r="A123" s="5" t="n"/>
      <c r="B123" s="5" t="n"/>
      <c r="C123" s="5" t="n"/>
      <c r="D123" s="5" t="n"/>
      <c r="E123" s="5" t="n"/>
      <c r="F123" s="5" t="n"/>
      <c r="G123" s="10" t="n"/>
      <c r="H123" s="10" t="n"/>
      <c r="I123" s="10" t="n"/>
      <c r="J123" s="10" t="n"/>
      <c r="K123" s="10" t="n"/>
      <c r="L123" s="10" t="n"/>
    </row>
    <row r="124">
      <c r="A124" s="5" t="n"/>
      <c r="B124" s="5" t="n"/>
      <c r="C124" s="5" t="n"/>
      <c r="D124" s="5" t="n"/>
      <c r="E124" s="5" t="n"/>
      <c r="F124" s="5" t="n"/>
      <c r="G124" s="10" t="n"/>
      <c r="H124" s="10" t="n"/>
      <c r="I124" s="10" t="n"/>
      <c r="J124" s="10" t="n"/>
      <c r="K124" s="10" t="n"/>
      <c r="L124" s="10" t="n"/>
    </row>
    <row r="125">
      <c r="A125" s="5" t="n"/>
      <c r="B125" s="5" t="n"/>
      <c r="C125" s="5" t="n"/>
      <c r="D125" s="5" t="n"/>
      <c r="E125" s="5" t="n"/>
      <c r="F125" s="5" t="n"/>
      <c r="G125" s="10" t="n"/>
      <c r="H125" s="10" t="n"/>
      <c r="I125" s="10" t="n"/>
      <c r="J125" s="10" t="n"/>
      <c r="K125" s="10" t="n"/>
      <c r="L125" s="10" t="n"/>
    </row>
    <row r="126">
      <c r="A126" s="5" t="n"/>
      <c r="B126" s="5" t="n"/>
      <c r="C126" s="5" t="n"/>
      <c r="D126" s="5" t="n"/>
      <c r="E126" s="5" t="n"/>
      <c r="F126" s="5" t="n"/>
      <c r="G126" s="10" t="n"/>
      <c r="H126" s="10" t="n"/>
      <c r="I126" s="10" t="n"/>
      <c r="J126" s="10" t="n"/>
      <c r="K126" s="10" t="n"/>
      <c r="L126" s="10" t="n"/>
    </row>
    <row r="127">
      <c r="A127" s="5" t="n"/>
      <c r="B127" s="5" t="n"/>
      <c r="C127" s="5" t="n"/>
      <c r="D127" s="5" t="n"/>
      <c r="E127" s="5" t="n"/>
      <c r="F127" s="5" t="n"/>
      <c r="G127" s="10" t="n"/>
      <c r="H127" s="10" t="n"/>
      <c r="I127" s="10" t="n"/>
      <c r="J127" s="10" t="n"/>
      <c r="K127" s="10" t="n"/>
      <c r="L127" s="10" t="n"/>
    </row>
    <row r="128">
      <c r="A128" s="5" t="n"/>
      <c r="B128" s="5" t="n"/>
      <c r="C128" s="5" t="n"/>
      <c r="D128" s="5" t="n"/>
      <c r="E128" s="5" t="n"/>
      <c r="F128" s="5" t="n"/>
      <c r="G128" s="10" t="n"/>
      <c r="H128" s="10" t="n"/>
      <c r="I128" s="10" t="n"/>
      <c r="J128" s="10" t="n"/>
      <c r="K128" s="10" t="n"/>
      <c r="L128" s="10" t="n"/>
    </row>
    <row r="129">
      <c r="A129" s="5" t="n"/>
      <c r="B129" s="5" t="n"/>
      <c r="C129" s="5" t="n"/>
      <c r="D129" s="5" t="n"/>
      <c r="E129" s="5" t="n"/>
      <c r="F129" s="5" t="n"/>
      <c r="G129" s="10" t="n"/>
      <c r="H129" s="10" t="n"/>
      <c r="I129" s="10" t="n"/>
      <c r="J129" s="10" t="n"/>
      <c r="K129" s="10" t="n"/>
      <c r="L129" s="10" t="n"/>
    </row>
    <row r="130">
      <c r="A130" s="5" t="n"/>
      <c r="B130" s="5" t="n"/>
      <c r="C130" s="5" t="n"/>
      <c r="D130" s="5" t="n"/>
      <c r="E130" s="5" t="n"/>
      <c r="F130" s="5" t="n"/>
      <c r="G130" s="10" t="n"/>
      <c r="H130" s="10" t="n"/>
      <c r="I130" s="10" t="n"/>
      <c r="J130" s="10" t="n"/>
      <c r="K130" s="10" t="n"/>
      <c r="L130" s="10" t="n"/>
    </row>
    <row r="131">
      <c r="A131" s="5" t="n"/>
      <c r="B131" s="5" t="n"/>
      <c r="C131" s="5" t="n"/>
      <c r="D131" s="5" t="n"/>
      <c r="E131" s="5" t="n"/>
      <c r="F131" s="5" t="n"/>
      <c r="G131" s="10" t="n"/>
      <c r="H131" s="10" t="n"/>
      <c r="I131" s="10" t="n"/>
      <c r="J131" s="10" t="n"/>
      <c r="K131" s="10" t="n"/>
      <c r="L131" s="10" t="n"/>
    </row>
    <row r="132">
      <c r="A132" s="5" t="n"/>
      <c r="B132" s="5" t="n"/>
      <c r="C132" s="5" t="n"/>
      <c r="D132" s="5" t="n"/>
      <c r="E132" s="5" t="n"/>
      <c r="F132" s="5" t="n"/>
      <c r="G132" s="10" t="n"/>
      <c r="H132" s="10" t="n"/>
      <c r="I132" s="10" t="n"/>
      <c r="J132" s="10" t="n"/>
      <c r="K132" s="10" t="n"/>
      <c r="L132" s="10" t="n"/>
    </row>
    <row r="133">
      <c r="A133" s="5" t="n"/>
      <c r="B133" s="5" t="n"/>
      <c r="C133" s="5" t="n"/>
      <c r="D133" s="5" t="n"/>
      <c r="E133" s="5" t="n"/>
      <c r="F133" s="5" t="n"/>
      <c r="G133" s="10" t="n"/>
      <c r="H133" s="10" t="n"/>
      <c r="I133" s="10" t="n"/>
      <c r="J133" s="10" t="n"/>
      <c r="K133" s="10" t="n"/>
      <c r="L133" s="10" t="n"/>
    </row>
    <row r="134">
      <c r="A134" s="5" t="n"/>
      <c r="B134" s="5" t="n"/>
      <c r="C134" s="5" t="n"/>
      <c r="D134" s="5" t="n"/>
      <c r="E134" s="5" t="n"/>
      <c r="F134" s="5" t="n"/>
      <c r="G134" s="10" t="n"/>
      <c r="H134" s="10" t="n"/>
      <c r="I134" s="10" t="n"/>
      <c r="J134" s="10" t="n"/>
      <c r="K134" s="10" t="n"/>
      <c r="L134" s="10" t="n"/>
    </row>
    <row r="135">
      <c r="A135" s="5" t="n"/>
      <c r="B135" s="5" t="n"/>
      <c r="C135" s="5" t="n"/>
      <c r="D135" s="5" t="n"/>
      <c r="E135" s="5" t="n"/>
      <c r="F135" s="5" t="n"/>
      <c r="G135" s="10" t="n"/>
      <c r="H135" s="10" t="n"/>
      <c r="I135" s="10" t="n"/>
      <c r="J135" s="10" t="n"/>
      <c r="K135" s="10" t="n"/>
      <c r="L135" s="10" t="n"/>
    </row>
    <row r="136">
      <c r="A136" s="5" t="n"/>
      <c r="B136" s="5" t="n"/>
      <c r="C136" s="5" t="n"/>
      <c r="D136" s="5" t="n"/>
      <c r="E136" s="5" t="n"/>
      <c r="F136" s="5" t="n"/>
      <c r="G136" s="10" t="n"/>
      <c r="H136" s="10" t="n"/>
      <c r="I136" s="10" t="n"/>
      <c r="J136" s="10" t="n"/>
      <c r="K136" s="10" t="n"/>
      <c r="L136" s="10" t="n"/>
    </row>
    <row r="137">
      <c r="A137" s="5" t="n"/>
      <c r="B137" s="5" t="n"/>
      <c r="C137" s="5" t="n"/>
      <c r="D137" s="5" t="n"/>
      <c r="E137" s="5" t="n"/>
      <c r="F137" s="5" t="n"/>
      <c r="G137" s="10" t="n"/>
      <c r="H137" s="10" t="n"/>
      <c r="I137" s="10" t="n"/>
      <c r="J137" s="10" t="n"/>
      <c r="K137" s="10" t="n"/>
      <c r="L137" s="10" t="n"/>
    </row>
    <row r="138">
      <c r="A138" s="5" t="n"/>
      <c r="B138" s="5" t="n"/>
      <c r="C138" s="5" t="n"/>
      <c r="D138" s="5" t="n"/>
      <c r="E138" s="5" t="n"/>
      <c r="F138" s="5" t="n"/>
      <c r="G138" s="10" t="n"/>
      <c r="H138" s="10" t="n"/>
      <c r="I138" s="10" t="n"/>
      <c r="J138" s="10" t="n"/>
      <c r="K138" s="10" t="n"/>
      <c r="L138" s="10" t="n"/>
    </row>
    <row r="139">
      <c r="A139" s="5" t="n"/>
      <c r="B139" s="5" t="n"/>
      <c r="C139" s="5" t="n"/>
      <c r="D139" s="5" t="n"/>
      <c r="E139" s="5" t="n"/>
      <c r="F139" s="5" t="n"/>
      <c r="G139" s="10" t="n"/>
      <c r="H139" s="10" t="n"/>
      <c r="I139" s="10" t="n"/>
      <c r="J139" s="10" t="n"/>
      <c r="K139" s="10" t="n"/>
      <c r="L139" s="10" t="n"/>
    </row>
    <row r="140">
      <c r="A140" s="5" t="n"/>
      <c r="B140" s="5" t="n"/>
      <c r="C140" s="5" t="n"/>
      <c r="D140" s="5" t="n"/>
      <c r="E140" s="5" t="n"/>
      <c r="F140" s="5" t="n"/>
      <c r="G140" s="10" t="n"/>
      <c r="H140" s="10" t="n"/>
      <c r="I140" s="10" t="n"/>
      <c r="J140" s="10" t="n"/>
      <c r="K140" s="10" t="n"/>
      <c r="L140" s="10" t="n"/>
    </row>
    <row r="141">
      <c r="A141" s="5" t="n"/>
      <c r="B141" s="5" t="n"/>
      <c r="C141" s="5" t="n"/>
      <c r="D141" s="5" t="n"/>
      <c r="E141" s="5" t="n"/>
      <c r="F141" s="5" t="n"/>
      <c r="G141" s="10" t="n"/>
      <c r="H141" s="10" t="n"/>
      <c r="I141" s="10" t="n"/>
      <c r="J141" s="10" t="n"/>
      <c r="K141" s="10" t="n"/>
      <c r="L141" s="10" t="n"/>
    </row>
    <row r="142">
      <c r="A142" s="5" t="n"/>
      <c r="B142" s="5" t="n"/>
      <c r="C142" s="5" t="n"/>
      <c r="D142" s="5" t="n"/>
      <c r="E142" s="5" t="n"/>
      <c r="F142" s="5" t="n"/>
      <c r="G142" s="10" t="n"/>
      <c r="H142" s="10" t="n"/>
      <c r="I142" s="10" t="n"/>
      <c r="J142" s="10" t="n"/>
      <c r="K142" s="10" t="n"/>
      <c r="L142" s="10" t="n"/>
    </row>
    <row r="143">
      <c r="A143" s="5" t="n"/>
      <c r="B143" s="5" t="n"/>
      <c r="C143" s="5" t="n"/>
      <c r="D143" s="5" t="n"/>
      <c r="E143" s="5" t="n"/>
      <c r="F143" s="5" t="n"/>
      <c r="G143" s="10" t="n"/>
      <c r="H143" s="10" t="n"/>
      <c r="I143" s="10" t="n"/>
      <c r="J143" s="10" t="n"/>
      <c r="K143" s="10" t="n"/>
      <c r="L143" s="10" t="n"/>
    </row>
    <row r="144">
      <c r="A144" s="5" t="n"/>
      <c r="B144" s="5" t="n"/>
      <c r="C144" s="5" t="n"/>
      <c r="D144" s="5" t="n"/>
      <c r="E144" s="5" t="n"/>
      <c r="F144" s="5" t="n"/>
      <c r="G144" s="10" t="n"/>
      <c r="H144" s="10" t="n"/>
      <c r="I144" s="10" t="n"/>
      <c r="J144" s="10" t="n"/>
      <c r="K144" s="10" t="n"/>
      <c r="L144" s="10" t="n"/>
    </row>
    <row r="145">
      <c r="A145" s="5" t="n"/>
      <c r="B145" s="5" t="n"/>
      <c r="C145" s="5" t="n"/>
      <c r="D145" s="5" t="n"/>
      <c r="E145" s="5" t="n"/>
      <c r="F145" s="5" t="n"/>
      <c r="G145" s="10" t="n"/>
      <c r="H145" s="10" t="n"/>
      <c r="I145" s="10" t="n"/>
      <c r="J145" s="10" t="n"/>
      <c r="K145" s="10" t="n"/>
      <c r="L145" s="10" t="n"/>
    </row>
    <row r="146">
      <c r="A146" s="5" t="n"/>
      <c r="B146" s="5" t="n"/>
      <c r="C146" s="5" t="n"/>
      <c r="D146" s="5" t="n"/>
      <c r="E146" s="5" t="n"/>
      <c r="F146" s="5" t="n"/>
      <c r="G146" s="10" t="n"/>
      <c r="H146" s="10" t="n"/>
      <c r="I146" s="10" t="n"/>
      <c r="J146" s="10" t="n"/>
      <c r="K146" s="10" t="n"/>
      <c r="L146" s="10" t="n"/>
    </row>
    <row r="147">
      <c r="A147" s="5" t="n"/>
      <c r="B147" s="5" t="n"/>
      <c r="C147" s="5" t="n"/>
      <c r="D147" s="5" t="n"/>
      <c r="E147" s="5" t="n"/>
      <c r="F147" s="5" t="n"/>
      <c r="G147" s="10" t="n"/>
      <c r="H147" s="10" t="n"/>
      <c r="I147" s="10" t="n"/>
      <c r="J147" s="10" t="n"/>
      <c r="K147" s="10" t="n"/>
      <c r="L147" s="10" t="n"/>
    </row>
    <row r="148">
      <c r="A148" s="5" t="n"/>
      <c r="B148" s="5" t="n"/>
      <c r="C148" s="5" t="n"/>
      <c r="D148" s="5" t="n"/>
      <c r="E148" s="5" t="n"/>
      <c r="F148" s="5" t="n"/>
      <c r="G148" s="10" t="n"/>
      <c r="H148" s="10" t="n"/>
      <c r="I148" s="10" t="n"/>
      <c r="J148" s="10" t="n"/>
      <c r="K148" s="10" t="n"/>
      <c r="L148" s="10" t="n"/>
    </row>
    <row r="149">
      <c r="A149" s="5" t="n"/>
      <c r="B149" s="5" t="n"/>
      <c r="C149" s="5" t="n"/>
      <c r="D149" s="5" t="n"/>
      <c r="E149" s="5" t="n"/>
      <c r="F149" s="5" t="n"/>
      <c r="G149" s="10" t="n"/>
      <c r="H149" s="10" t="n"/>
      <c r="I149" s="10" t="n"/>
      <c r="J149" s="10" t="n"/>
      <c r="K149" s="10" t="n"/>
      <c r="L149" s="10" t="n"/>
    </row>
    <row r="150">
      <c r="A150" s="5" t="n"/>
      <c r="B150" s="5" t="n"/>
      <c r="C150" s="5" t="n"/>
      <c r="D150" s="5" t="n"/>
      <c r="E150" s="5" t="n"/>
      <c r="F150" s="5" t="n"/>
      <c r="G150" s="10" t="n"/>
      <c r="H150" s="10" t="n"/>
      <c r="I150" s="10" t="n"/>
      <c r="J150" s="10" t="n"/>
      <c r="K150" s="10" t="n"/>
      <c r="L150" s="10" t="n"/>
    </row>
    <row r="151">
      <c r="A151" s="5" t="n"/>
      <c r="B151" s="5" t="n"/>
      <c r="C151" s="5" t="n"/>
      <c r="D151" s="5" t="n"/>
      <c r="E151" s="5" t="n"/>
      <c r="F151" s="5" t="n"/>
      <c r="G151" s="10" t="n"/>
      <c r="H151" s="10" t="n"/>
      <c r="I151" s="10" t="n"/>
      <c r="J151" s="10" t="n"/>
      <c r="K151" s="10" t="n"/>
      <c r="L151" s="10" t="n"/>
    </row>
    <row r="152">
      <c r="A152" s="5" t="n"/>
      <c r="B152" s="5" t="n"/>
      <c r="C152" s="5" t="n"/>
      <c r="D152" s="5" t="n"/>
      <c r="E152" s="5" t="n"/>
      <c r="F152" s="5" t="n"/>
      <c r="G152" s="10" t="n"/>
      <c r="H152" s="10" t="n"/>
      <c r="I152" s="10" t="n"/>
      <c r="J152" s="10" t="n"/>
      <c r="K152" s="10" t="n"/>
      <c r="L152" s="10" t="n"/>
    </row>
    <row r="153">
      <c r="A153" s="5" t="n"/>
      <c r="B153" s="5" t="n"/>
      <c r="C153" s="5" t="n"/>
      <c r="D153" s="5" t="n"/>
      <c r="E153" s="5" t="n"/>
      <c r="F153" s="5" t="n"/>
      <c r="G153" s="10" t="n"/>
      <c r="H153" s="10" t="n"/>
      <c r="I153" s="10" t="n"/>
      <c r="J153" s="10" t="n"/>
      <c r="K153" s="10" t="n"/>
      <c r="L153" s="10" t="n"/>
    </row>
    <row r="154">
      <c r="A154" s="5" t="n"/>
      <c r="B154" s="5" t="n"/>
      <c r="C154" s="5" t="n"/>
      <c r="D154" s="5" t="n"/>
      <c r="E154" s="5" t="n"/>
      <c r="F154" s="5" t="n"/>
      <c r="G154" s="10" t="n"/>
      <c r="H154" s="10" t="n"/>
      <c r="I154" s="10" t="n"/>
      <c r="J154" s="10" t="n"/>
      <c r="K154" s="10" t="n"/>
      <c r="L154" s="10" t="n"/>
    </row>
    <row r="155">
      <c r="A155" s="5" t="n"/>
      <c r="B155" s="5" t="n"/>
      <c r="C155" s="5" t="n"/>
      <c r="D155" s="5" t="n"/>
      <c r="E155" s="5" t="n"/>
      <c r="F155" s="5" t="n"/>
      <c r="G155" s="10" t="n"/>
      <c r="H155" s="10" t="n"/>
      <c r="I155" s="10" t="n"/>
      <c r="J155" s="10" t="n"/>
      <c r="K155" s="10" t="n"/>
      <c r="L155" s="10" t="n"/>
    </row>
    <row r="156">
      <c r="A156" s="5" t="n"/>
      <c r="B156" s="5" t="n"/>
      <c r="C156" s="5" t="n"/>
      <c r="D156" s="5" t="n"/>
      <c r="E156" s="5" t="n"/>
      <c r="F156" s="5" t="n"/>
      <c r="G156" s="10" t="n"/>
      <c r="H156" s="10" t="n"/>
      <c r="I156" s="10" t="n"/>
      <c r="J156" s="10" t="n"/>
      <c r="K156" s="10" t="n"/>
      <c r="L156" s="10" t="n"/>
    </row>
    <row r="157">
      <c r="A157" s="5" t="n"/>
      <c r="B157" s="5" t="n"/>
      <c r="C157" s="5" t="n"/>
      <c r="D157" s="5" t="n"/>
      <c r="E157" s="5" t="n"/>
      <c r="F157" s="5" t="n"/>
      <c r="G157" s="10" t="n"/>
      <c r="H157" s="10" t="n"/>
      <c r="I157" s="10" t="n"/>
      <c r="J157" s="10" t="n"/>
      <c r="K157" s="10" t="n"/>
      <c r="L157" s="10" t="n"/>
    </row>
    <row r="158">
      <c r="A158" s="5" t="n"/>
      <c r="B158" s="5" t="n"/>
      <c r="C158" s="5" t="n"/>
      <c r="D158" s="5" t="n"/>
      <c r="E158" s="5" t="n"/>
      <c r="F158" s="5" t="n"/>
      <c r="G158" s="10" t="n"/>
      <c r="H158" s="10" t="n"/>
      <c r="I158" s="10" t="n"/>
      <c r="J158" s="10" t="n"/>
      <c r="K158" s="10" t="n"/>
      <c r="L158" s="10" t="n"/>
    </row>
    <row r="159">
      <c r="A159" s="5" t="n"/>
      <c r="B159" s="5" t="n"/>
      <c r="C159" s="5" t="n"/>
      <c r="D159" s="5" t="n"/>
      <c r="E159" s="5" t="n"/>
      <c r="F159" s="5" t="n"/>
      <c r="G159" s="10" t="n"/>
      <c r="H159" s="10" t="n"/>
      <c r="I159" s="10" t="n"/>
      <c r="J159" s="10" t="n"/>
      <c r="K159" s="10" t="n"/>
      <c r="L159" s="10" t="n"/>
    </row>
    <row r="160">
      <c r="A160" s="5" t="n"/>
      <c r="B160" s="5" t="n"/>
      <c r="C160" s="5" t="n"/>
      <c r="D160" s="5" t="n"/>
      <c r="E160" s="5" t="n"/>
      <c r="F160" s="5" t="n"/>
      <c r="G160" s="10" t="n"/>
      <c r="H160" s="10" t="n"/>
      <c r="I160" s="10" t="n"/>
      <c r="J160" s="10" t="n"/>
      <c r="K160" s="10" t="n"/>
      <c r="L160" s="10" t="n"/>
    </row>
    <row r="161">
      <c r="A161" s="5" t="n"/>
      <c r="B161" s="5" t="n"/>
      <c r="C161" s="5" t="n"/>
      <c r="D161" s="5" t="n"/>
      <c r="E161" s="5" t="n"/>
      <c r="F161" s="5" t="n"/>
      <c r="G161" s="10" t="n"/>
      <c r="H161" s="10" t="n"/>
      <c r="I161" s="10" t="n"/>
      <c r="J161" s="10" t="n"/>
      <c r="K161" s="10" t="n"/>
      <c r="L161" s="10" t="n"/>
    </row>
    <row r="162">
      <c r="A162" s="5" t="n"/>
      <c r="B162" s="5" t="n"/>
      <c r="C162" s="5" t="n"/>
      <c r="D162" s="5" t="n"/>
      <c r="E162" s="5" t="n"/>
      <c r="F162" s="5" t="n"/>
      <c r="G162" s="10" t="n"/>
      <c r="H162" s="10" t="n"/>
      <c r="I162" s="10" t="n"/>
      <c r="J162" s="10" t="n"/>
      <c r="K162" s="10" t="n"/>
      <c r="L162" s="10" t="n"/>
    </row>
    <row r="163">
      <c r="A163" s="5" t="n"/>
      <c r="B163" s="5" t="n"/>
      <c r="C163" s="5" t="n"/>
      <c r="D163" s="5" t="n"/>
      <c r="E163" s="5" t="n"/>
      <c r="F163" s="5" t="n"/>
      <c r="G163" s="10" t="n"/>
      <c r="H163" s="10" t="n"/>
      <c r="I163" s="10" t="n"/>
      <c r="J163" s="10" t="n"/>
      <c r="K163" s="10" t="n"/>
      <c r="L163" s="10" t="n"/>
    </row>
    <row r="164">
      <c r="A164" s="5" t="n"/>
      <c r="B164" s="5" t="n"/>
      <c r="C164" s="5" t="n"/>
      <c r="D164" s="5" t="n"/>
      <c r="E164" s="5" t="n"/>
      <c r="F164" s="5" t="n"/>
      <c r="G164" s="10" t="n"/>
      <c r="H164" s="10" t="n"/>
      <c r="I164" s="10" t="n"/>
      <c r="J164" s="10" t="n"/>
      <c r="K164" s="10" t="n"/>
      <c r="L164" s="10" t="n"/>
    </row>
    <row r="165">
      <c r="A165" s="5" t="n"/>
      <c r="B165" s="5" t="n"/>
      <c r="C165" s="5" t="n"/>
      <c r="D165" s="5" t="n"/>
      <c r="E165" s="5" t="n"/>
      <c r="F165" s="5" t="n"/>
      <c r="G165" s="10" t="n"/>
      <c r="H165" s="10" t="n"/>
      <c r="I165" s="10" t="n"/>
      <c r="J165" s="10" t="n"/>
      <c r="K165" s="10" t="n"/>
      <c r="L165" s="10" t="n"/>
    </row>
    <row r="166">
      <c r="A166" s="5" t="n"/>
      <c r="B166" s="5" t="n"/>
      <c r="C166" s="5" t="n"/>
      <c r="D166" s="5" t="n"/>
      <c r="E166" s="5" t="n"/>
      <c r="F166" s="5" t="n"/>
      <c r="G166" s="10" t="n"/>
      <c r="H166" s="10" t="n"/>
      <c r="I166" s="10" t="n"/>
      <c r="J166" s="10" t="n"/>
      <c r="K166" s="10" t="n"/>
      <c r="L166" s="10" t="n"/>
    </row>
    <row r="167">
      <c r="A167" s="5" t="n"/>
      <c r="B167" s="5" t="n"/>
      <c r="C167" s="5" t="n"/>
      <c r="D167" s="5" t="n"/>
      <c r="E167" s="5" t="n"/>
      <c r="F167" s="5" t="n"/>
      <c r="G167" s="10" t="n"/>
      <c r="H167" s="10" t="n"/>
      <c r="I167" s="10" t="n"/>
      <c r="J167" s="10" t="n"/>
      <c r="K167" s="10" t="n"/>
      <c r="L167" s="10" t="n"/>
    </row>
    <row r="168">
      <c r="A168" s="5" t="n"/>
      <c r="B168" s="5" t="n"/>
      <c r="C168" s="5" t="n"/>
      <c r="D168" s="5" t="n"/>
      <c r="E168" s="5" t="n"/>
      <c r="F168" s="5" t="n"/>
      <c r="G168" s="10" t="n"/>
      <c r="H168" s="10" t="n"/>
      <c r="I168" s="10" t="n"/>
      <c r="J168" s="10" t="n"/>
      <c r="K168" s="10" t="n"/>
      <c r="L168" s="10" t="n"/>
    </row>
    <row r="169">
      <c r="A169" s="5" t="n"/>
      <c r="B169" s="5" t="n"/>
      <c r="C169" s="5" t="n"/>
      <c r="D169" s="5" t="n"/>
      <c r="E169" s="5" t="n"/>
      <c r="F169" s="5" t="n"/>
      <c r="G169" s="10" t="n"/>
      <c r="H169" s="10" t="n"/>
      <c r="I169" s="10" t="n"/>
      <c r="J169" s="10" t="n"/>
      <c r="K169" s="10" t="n"/>
      <c r="L169" s="10" t="n"/>
    </row>
    <row r="170">
      <c r="A170" s="5" t="n"/>
      <c r="B170" s="5" t="n"/>
      <c r="C170" s="5" t="n"/>
      <c r="D170" s="5" t="n"/>
      <c r="E170" s="5" t="n"/>
      <c r="F170" s="5" t="n"/>
      <c r="G170" s="10" t="n"/>
      <c r="H170" s="10" t="n"/>
      <c r="I170" s="10" t="n"/>
      <c r="J170" s="10" t="n"/>
      <c r="K170" s="10" t="n"/>
      <c r="L170" s="10" t="n"/>
    </row>
    <row r="171">
      <c r="A171" s="5" t="n"/>
      <c r="B171" s="5" t="n"/>
      <c r="C171" s="5" t="n"/>
      <c r="D171" s="5" t="n"/>
      <c r="E171" s="5" t="n"/>
      <c r="F171" s="5" t="n"/>
      <c r="G171" s="10" t="n"/>
      <c r="H171" s="10" t="n"/>
      <c r="I171" s="10" t="n"/>
      <c r="J171" s="10" t="n"/>
      <c r="K171" s="10" t="n"/>
      <c r="L171" s="10" t="n"/>
    </row>
    <row r="172">
      <c r="A172" s="5" t="n"/>
      <c r="B172" s="5" t="n"/>
      <c r="C172" s="5" t="n"/>
      <c r="D172" s="5" t="n"/>
      <c r="E172" s="5" t="n"/>
      <c r="F172" s="5" t="n"/>
      <c r="G172" s="10" t="n"/>
      <c r="H172" s="10" t="n"/>
      <c r="I172" s="10" t="n"/>
      <c r="J172" s="10" t="n"/>
      <c r="K172" s="10" t="n"/>
      <c r="L172" s="10" t="n"/>
    </row>
    <row r="173">
      <c r="A173" s="5" t="n"/>
      <c r="B173" s="5" t="n"/>
      <c r="C173" s="5" t="n"/>
      <c r="D173" s="5" t="n"/>
      <c r="E173" s="5" t="n"/>
      <c r="F173" s="5" t="n"/>
      <c r="G173" s="10" t="n"/>
      <c r="H173" s="10" t="n"/>
      <c r="I173" s="10" t="n"/>
      <c r="J173" s="10" t="n"/>
      <c r="K173" s="10" t="n"/>
      <c r="L173" s="10" t="n"/>
    </row>
    <row r="174">
      <c r="A174" s="5" t="n"/>
      <c r="B174" s="5" t="n"/>
      <c r="C174" s="5" t="n"/>
      <c r="D174" s="5" t="n"/>
      <c r="E174" s="5" t="n"/>
      <c r="F174" s="5" t="n"/>
      <c r="G174" s="10" t="n"/>
      <c r="H174" s="10" t="n"/>
      <c r="I174" s="10" t="n"/>
      <c r="J174" s="10" t="n"/>
      <c r="K174" s="10" t="n"/>
      <c r="L174" s="10" t="n"/>
    </row>
    <row r="175">
      <c r="A175" s="5" t="n"/>
      <c r="B175" s="5" t="n"/>
      <c r="C175" s="5" t="n"/>
      <c r="D175" s="5" t="n"/>
      <c r="E175" s="5" t="n"/>
      <c r="F175" s="5" t="n"/>
      <c r="G175" s="10" t="n"/>
      <c r="H175" s="10" t="n"/>
      <c r="I175" s="10" t="n"/>
      <c r="J175" s="10" t="n"/>
      <c r="K175" s="10" t="n"/>
      <c r="L175" s="10" t="n"/>
    </row>
    <row r="176">
      <c r="A176" s="5" t="n"/>
      <c r="B176" s="5" t="n"/>
      <c r="C176" s="5" t="n"/>
      <c r="D176" s="5" t="n"/>
      <c r="E176" s="5" t="n"/>
      <c r="F176" s="5" t="n"/>
      <c r="G176" s="10" t="n"/>
      <c r="H176" s="10" t="n"/>
      <c r="I176" s="10" t="n"/>
      <c r="J176" s="10" t="n"/>
      <c r="K176" s="10" t="n"/>
      <c r="L176" s="10" t="n"/>
    </row>
    <row r="177">
      <c r="A177" s="5" t="n"/>
      <c r="B177" s="5" t="n"/>
      <c r="C177" s="5" t="n"/>
      <c r="D177" s="5" t="n"/>
      <c r="E177" s="5" t="n"/>
      <c r="F177" s="5" t="n"/>
      <c r="G177" s="10" t="n"/>
      <c r="H177" s="10" t="n"/>
      <c r="I177" s="10" t="n"/>
      <c r="J177" s="10" t="n"/>
      <c r="K177" s="10" t="n"/>
      <c r="L177" s="10" t="n"/>
    </row>
    <row r="178">
      <c r="A178" s="5" t="n"/>
      <c r="B178" s="5" t="n"/>
      <c r="C178" s="5" t="n"/>
      <c r="D178" s="5" t="n"/>
      <c r="E178" s="5" t="n"/>
      <c r="F178" s="5" t="n"/>
      <c r="G178" s="10" t="n"/>
      <c r="H178" s="10" t="n"/>
      <c r="I178" s="10" t="n"/>
      <c r="J178" s="10" t="n"/>
      <c r="K178" s="10" t="n"/>
      <c r="L178" s="10" t="n"/>
    </row>
    <row r="179">
      <c r="A179" s="5" t="n"/>
      <c r="B179" s="5" t="n"/>
      <c r="C179" s="5" t="n"/>
      <c r="D179" s="5" t="n"/>
      <c r="E179" s="5" t="n"/>
      <c r="F179" s="5" t="n"/>
      <c r="G179" s="10" t="n"/>
      <c r="H179" s="10" t="n"/>
      <c r="I179" s="10" t="n"/>
      <c r="J179" s="10" t="n"/>
      <c r="K179" s="10" t="n"/>
      <c r="L179" s="10" t="n"/>
    </row>
    <row r="180">
      <c r="A180" s="5" t="n"/>
      <c r="B180" s="5" t="n"/>
      <c r="C180" s="5" t="n"/>
      <c r="D180" s="5" t="n"/>
      <c r="E180" s="5" t="n"/>
      <c r="F180" s="5" t="n"/>
      <c r="G180" s="10" t="n"/>
      <c r="H180" s="10" t="n"/>
      <c r="I180" s="10" t="n"/>
      <c r="J180" s="10" t="n"/>
      <c r="K180" s="10" t="n"/>
      <c r="L180" s="10" t="n"/>
    </row>
    <row r="181">
      <c r="A181" s="5" t="n"/>
      <c r="B181" s="5" t="n"/>
      <c r="C181" s="5" t="n"/>
      <c r="D181" s="5" t="n"/>
      <c r="E181" s="5" t="n"/>
      <c r="F181" s="5" t="n"/>
      <c r="G181" s="10" t="n"/>
      <c r="H181" s="10" t="n"/>
      <c r="I181" s="10" t="n"/>
      <c r="J181" s="10" t="n"/>
      <c r="K181" s="10" t="n"/>
      <c r="L181" s="10" t="n"/>
    </row>
    <row r="182">
      <c r="A182" s="5" t="n"/>
      <c r="B182" s="5" t="n"/>
      <c r="C182" s="5" t="n"/>
      <c r="D182" s="5" t="n"/>
      <c r="E182" s="5" t="n"/>
      <c r="F182" s="5" t="n"/>
      <c r="G182" s="10" t="n"/>
      <c r="H182" s="10" t="n"/>
      <c r="I182" s="10" t="n"/>
      <c r="J182" s="10" t="n"/>
      <c r="K182" s="10" t="n"/>
      <c r="L182" s="10" t="n"/>
    </row>
    <row r="183">
      <c r="A183" s="5" t="n"/>
      <c r="B183" s="5" t="n"/>
      <c r="C183" s="5" t="n"/>
      <c r="D183" s="5" t="n"/>
      <c r="E183" s="5" t="n"/>
      <c r="F183" s="5" t="n"/>
      <c r="G183" s="10" t="n"/>
      <c r="H183" s="10" t="n"/>
      <c r="I183" s="10" t="n"/>
      <c r="J183" s="10" t="n"/>
      <c r="K183" s="10" t="n"/>
      <c r="L183" s="10" t="n"/>
    </row>
    <row r="184">
      <c r="A184" s="5" t="n"/>
      <c r="B184" s="5" t="n"/>
      <c r="C184" s="5" t="n"/>
      <c r="D184" s="5" t="n"/>
      <c r="E184" s="5" t="n"/>
      <c r="F184" s="5" t="n"/>
      <c r="G184" s="10" t="n"/>
      <c r="H184" s="10" t="n"/>
      <c r="I184" s="10" t="n"/>
      <c r="J184" s="10" t="n"/>
      <c r="K184" s="10" t="n"/>
      <c r="L184" s="10" t="n"/>
    </row>
    <row r="185">
      <c r="A185" s="5" t="n"/>
      <c r="B185" s="5" t="n"/>
      <c r="C185" s="5" t="n"/>
      <c r="D185" s="5" t="n"/>
      <c r="E185" s="5" t="n"/>
      <c r="F185" s="5" t="n"/>
      <c r="G185" s="10" t="n"/>
      <c r="H185" s="10" t="n"/>
      <c r="I185" s="10" t="n"/>
      <c r="J185" s="10" t="n"/>
      <c r="K185" s="10" t="n"/>
      <c r="L185" s="10" t="n"/>
    </row>
    <row r="186">
      <c r="A186" s="5" t="n"/>
      <c r="B186" s="5" t="n"/>
      <c r="C186" s="5" t="n"/>
      <c r="D186" s="5" t="n"/>
      <c r="E186" s="5" t="n"/>
      <c r="F186" s="5" t="n"/>
      <c r="G186" s="10" t="n"/>
      <c r="H186" s="10" t="n"/>
      <c r="I186" s="10" t="n"/>
      <c r="J186" s="10" t="n"/>
      <c r="K186" s="10" t="n"/>
      <c r="L186" s="10" t="n"/>
    </row>
    <row r="187">
      <c r="A187" s="5" t="n"/>
      <c r="B187" s="5" t="n"/>
      <c r="C187" s="5" t="n"/>
      <c r="D187" s="5" t="n"/>
      <c r="E187" s="5" t="n"/>
      <c r="F187" s="5" t="n"/>
      <c r="G187" s="10" t="n"/>
      <c r="H187" s="10" t="n"/>
      <c r="I187" s="10" t="n"/>
      <c r="J187" s="10" t="n"/>
      <c r="K187" s="10" t="n"/>
      <c r="L187" s="10" t="n"/>
    </row>
    <row r="188">
      <c r="A188" s="5" t="n"/>
      <c r="B188" s="5" t="n"/>
      <c r="C188" s="5" t="n"/>
      <c r="D188" s="5" t="n"/>
      <c r="E188" s="5" t="n"/>
      <c r="F188" s="5" t="n"/>
      <c r="G188" s="10" t="n"/>
      <c r="H188" s="10" t="n"/>
      <c r="I188" s="10" t="n"/>
      <c r="J188" s="10" t="n"/>
      <c r="K188" s="10" t="n"/>
      <c r="L188" s="10" t="n"/>
    </row>
    <row r="189">
      <c r="A189" s="5" t="n"/>
      <c r="B189" s="5" t="n"/>
      <c r="C189" s="5" t="n"/>
      <c r="D189" s="5" t="n"/>
      <c r="E189" s="5" t="n"/>
      <c r="F189" s="5" t="n"/>
      <c r="G189" s="10" t="n"/>
      <c r="H189" s="10" t="n"/>
      <c r="I189" s="10" t="n"/>
      <c r="J189" s="10" t="n"/>
      <c r="K189" s="10" t="n"/>
      <c r="L189" s="10" t="n"/>
    </row>
    <row r="190">
      <c r="A190" s="5" t="n"/>
      <c r="B190" s="5" t="n"/>
      <c r="C190" s="5" t="n"/>
      <c r="D190" s="5" t="n"/>
      <c r="E190" s="5" t="n"/>
      <c r="F190" s="5" t="n"/>
      <c r="G190" s="10" t="n"/>
      <c r="H190" s="10" t="n"/>
      <c r="I190" s="10" t="n"/>
      <c r="J190" s="10" t="n"/>
      <c r="K190" s="10" t="n"/>
      <c r="L190" s="10" t="n"/>
    </row>
    <row r="191">
      <c r="A191" s="5" t="n"/>
      <c r="B191" s="5" t="n"/>
      <c r="C191" s="5" t="n"/>
      <c r="D191" s="5" t="n"/>
      <c r="E191" s="5" t="n"/>
      <c r="F191" s="5" t="n"/>
      <c r="G191" s="10" t="n"/>
      <c r="H191" s="10" t="n"/>
      <c r="I191" s="10" t="n"/>
      <c r="J191" s="10" t="n"/>
      <c r="K191" s="10" t="n"/>
      <c r="L191" s="10" t="n"/>
    </row>
    <row r="192">
      <c r="A192" s="5" t="n"/>
      <c r="B192" s="5" t="n"/>
      <c r="C192" s="5" t="n"/>
      <c r="D192" s="5" t="n"/>
      <c r="E192" s="5" t="n"/>
      <c r="F192" s="5" t="n"/>
      <c r="G192" s="10" t="n"/>
      <c r="H192" s="10" t="n"/>
      <c r="I192" s="10" t="n"/>
      <c r="J192" s="10" t="n"/>
      <c r="K192" s="10" t="n"/>
      <c r="L192" s="10" t="n"/>
    </row>
    <row r="193">
      <c r="A193" s="5" t="n"/>
      <c r="B193" s="5" t="n"/>
      <c r="C193" s="5" t="n"/>
      <c r="D193" s="5" t="n"/>
      <c r="E193" s="5" t="n"/>
      <c r="F193" s="5" t="n"/>
      <c r="G193" s="10" t="n"/>
      <c r="H193" s="10" t="n"/>
      <c r="I193" s="10" t="n"/>
      <c r="J193" s="10" t="n"/>
      <c r="K193" s="10" t="n"/>
      <c r="L193" s="10" t="n"/>
    </row>
    <row r="194">
      <c r="A194" s="5" t="n"/>
      <c r="B194" s="5" t="n"/>
      <c r="C194" s="5" t="n"/>
      <c r="D194" s="5" t="n"/>
      <c r="E194" s="5" t="n"/>
      <c r="F194" s="5" t="n"/>
      <c r="G194" s="10" t="n"/>
      <c r="H194" s="10" t="n"/>
      <c r="I194" s="10" t="n"/>
      <c r="J194" s="10" t="n"/>
      <c r="K194" s="10" t="n"/>
      <c r="L194" s="10" t="n"/>
    </row>
    <row r="195">
      <c r="A195" s="5" t="n"/>
      <c r="B195" s="5" t="n"/>
      <c r="C195" s="5" t="n"/>
      <c r="D195" s="5" t="n"/>
      <c r="E195" s="5" t="n"/>
      <c r="F195" s="5" t="n"/>
      <c r="G195" s="10" t="n"/>
      <c r="H195" s="10" t="n"/>
      <c r="I195" s="10" t="n"/>
      <c r="J195" s="10" t="n"/>
      <c r="K195" s="10" t="n"/>
      <c r="L195" s="10" t="n"/>
    </row>
    <row r="196">
      <c r="A196" s="5" t="n"/>
      <c r="B196" s="5" t="n"/>
      <c r="C196" s="5" t="n"/>
      <c r="D196" s="5" t="n"/>
      <c r="E196" s="5" t="n"/>
      <c r="F196" s="5" t="n"/>
      <c r="G196" s="10" t="n"/>
      <c r="H196" s="10" t="n"/>
      <c r="I196" s="10" t="n"/>
      <c r="J196" s="10" t="n"/>
      <c r="K196" s="10" t="n"/>
      <c r="L196" s="10" t="n"/>
    </row>
    <row r="197">
      <c r="A197" s="5" t="n"/>
      <c r="B197" s="5" t="n"/>
      <c r="C197" s="5" t="n"/>
      <c r="D197" s="5" t="n"/>
      <c r="E197" s="5" t="n"/>
      <c r="F197" s="5" t="n"/>
      <c r="G197" s="10" t="n"/>
      <c r="H197" s="10" t="n"/>
      <c r="I197" s="10" t="n"/>
      <c r="J197" s="10" t="n"/>
      <c r="K197" s="10" t="n"/>
      <c r="L197" s="10" t="n"/>
    </row>
    <row r="198">
      <c r="A198" s="5" t="n"/>
      <c r="B198" s="5" t="n"/>
      <c r="C198" s="5" t="n"/>
      <c r="D198" s="5" t="n"/>
      <c r="E198" s="5" t="n"/>
      <c r="F198" s="5" t="n"/>
      <c r="G198" s="10" t="n"/>
      <c r="H198" s="10" t="n"/>
      <c r="I198" s="10" t="n"/>
      <c r="J198" s="10" t="n"/>
      <c r="K198" s="10" t="n"/>
      <c r="L198" s="10" t="n"/>
    </row>
    <row r="199">
      <c r="A199" s="5" t="n"/>
      <c r="B199" s="5" t="n"/>
      <c r="C199" s="5" t="n"/>
      <c r="D199" s="5" t="n"/>
      <c r="E199" s="5" t="n"/>
      <c r="F199" s="5" t="n"/>
      <c r="G199" s="10" t="n"/>
      <c r="H199" s="10" t="n"/>
      <c r="I199" s="10" t="n"/>
      <c r="J199" s="10" t="n"/>
      <c r="K199" s="10" t="n"/>
      <c r="L199" s="10" t="n"/>
    </row>
    <row r="200">
      <c r="A200" s="5" t="n"/>
      <c r="B200" s="5" t="n"/>
      <c r="C200" s="5" t="n"/>
      <c r="D200" s="5" t="n"/>
      <c r="E200" s="5" t="n"/>
      <c r="F200" s="5" t="n"/>
      <c r="G200" s="10" t="n"/>
      <c r="H200" s="10" t="n"/>
      <c r="I200" s="10" t="n"/>
      <c r="J200" s="10" t="n"/>
      <c r="K200" s="10" t="n"/>
      <c r="L200" s="10" t="n"/>
    </row>
    <row r="201">
      <c r="A201" s="5" t="n"/>
      <c r="B201" s="5" t="n"/>
      <c r="C201" s="5" t="n"/>
      <c r="D201" s="5" t="n"/>
      <c r="E201" s="5" t="n"/>
      <c r="F201" s="5" t="n"/>
      <c r="G201" s="10" t="n"/>
      <c r="H201" s="10" t="n"/>
      <c r="I201" s="10" t="n"/>
      <c r="J201" s="10" t="n"/>
      <c r="K201" s="10" t="n"/>
      <c r="L201" s="10" t="n"/>
    </row>
    <row r="202">
      <c r="A202" s="5" t="n"/>
      <c r="B202" s="5" t="n"/>
      <c r="C202" s="5" t="n"/>
      <c r="D202" s="5" t="n"/>
      <c r="E202" s="5" t="n"/>
      <c r="F202" s="5" t="n"/>
      <c r="G202" s="10" t="n"/>
      <c r="H202" s="10" t="n"/>
      <c r="I202" s="10" t="n"/>
      <c r="J202" s="10" t="n"/>
      <c r="K202" s="10" t="n"/>
      <c r="L202" s="10" t="n"/>
    </row>
    <row r="203">
      <c r="A203" s="5" t="n"/>
      <c r="B203" s="5" t="n"/>
      <c r="C203" s="5" t="n"/>
      <c r="D203" s="5" t="n"/>
      <c r="E203" s="5" t="n"/>
      <c r="F203" s="5" t="n"/>
      <c r="G203" s="10" t="n"/>
      <c r="H203" s="10" t="n"/>
      <c r="I203" s="10" t="n"/>
      <c r="J203" s="10" t="n"/>
      <c r="K203" s="10" t="n"/>
      <c r="L203" s="10" t="n"/>
    </row>
    <row r="204">
      <c r="A204" s="5" t="n"/>
      <c r="B204" s="5" t="n"/>
      <c r="C204" s="5" t="n"/>
      <c r="D204" s="5" t="n"/>
      <c r="E204" s="5" t="n"/>
      <c r="F204" s="5" t="n"/>
      <c r="G204" s="10" t="n"/>
      <c r="H204" s="10" t="n"/>
      <c r="I204" s="10" t="n"/>
      <c r="J204" s="10" t="n"/>
      <c r="K204" s="10" t="n"/>
      <c r="L204" s="10" t="n"/>
    </row>
    <row r="205">
      <c r="A205" s="5" t="n"/>
      <c r="B205" s="5" t="n"/>
      <c r="C205" s="5" t="n"/>
      <c r="D205" s="5" t="n"/>
      <c r="E205" s="5" t="n"/>
      <c r="F205" s="5" t="n"/>
      <c r="G205" s="10" t="n"/>
      <c r="H205" s="10" t="n"/>
      <c r="I205" s="10" t="n"/>
      <c r="J205" s="10" t="n"/>
      <c r="K205" s="10" t="n"/>
      <c r="L205" s="10" t="n"/>
    </row>
    <row r="206">
      <c r="A206" s="5" t="n"/>
      <c r="B206" s="5" t="n"/>
      <c r="C206" s="5" t="n"/>
      <c r="D206" s="5" t="n"/>
      <c r="E206" s="5" t="n"/>
      <c r="F206" s="5" t="n"/>
      <c r="G206" s="10" t="n"/>
      <c r="H206" s="10" t="n"/>
      <c r="I206" s="10" t="n"/>
      <c r="J206" s="10" t="n"/>
      <c r="K206" s="10" t="n"/>
      <c r="L206" s="10" t="n"/>
    </row>
    <row r="207">
      <c r="A207" s="5" t="n"/>
      <c r="B207" s="5" t="n"/>
      <c r="C207" s="5" t="n"/>
      <c r="D207" s="5" t="n"/>
      <c r="E207" s="5" t="n"/>
      <c r="F207" s="5" t="n"/>
      <c r="G207" s="10" t="n"/>
      <c r="H207" s="10" t="n"/>
      <c r="I207" s="10" t="n"/>
      <c r="J207" s="10" t="n"/>
      <c r="K207" s="10" t="n"/>
      <c r="L207" s="10" t="n"/>
    </row>
    <row r="208">
      <c r="A208" s="5" t="n"/>
      <c r="B208" s="5" t="n"/>
      <c r="C208" s="5" t="n"/>
      <c r="D208" s="5" t="n"/>
      <c r="E208" s="5" t="n"/>
      <c r="F208" s="5" t="n"/>
      <c r="G208" s="10" t="n"/>
      <c r="H208" s="10" t="n"/>
      <c r="I208" s="10" t="n"/>
      <c r="J208" s="10" t="n"/>
      <c r="K208" s="10" t="n"/>
      <c r="L208" s="10" t="n"/>
    </row>
    <row r="209">
      <c r="A209" s="5" t="n"/>
      <c r="B209" s="5" t="n"/>
      <c r="C209" s="5" t="n"/>
      <c r="D209" s="5" t="n"/>
      <c r="E209" s="5" t="n"/>
      <c r="F209" s="5" t="n"/>
      <c r="G209" s="10" t="n"/>
      <c r="H209" s="10" t="n"/>
      <c r="I209" s="10" t="n"/>
      <c r="J209" s="10" t="n"/>
      <c r="K209" s="10" t="n"/>
      <c r="L209" s="10" t="n"/>
    </row>
    <row r="210">
      <c r="A210" s="5" t="n"/>
      <c r="B210" s="5" t="n"/>
      <c r="C210" s="5" t="n"/>
      <c r="D210" s="5" t="n"/>
      <c r="E210" s="5" t="n"/>
      <c r="F210" s="5" t="n"/>
      <c r="G210" s="10" t="n"/>
      <c r="H210" s="10" t="n"/>
      <c r="I210" s="10" t="n"/>
      <c r="J210" s="10" t="n"/>
      <c r="K210" s="10" t="n"/>
      <c r="L210" s="10" t="n"/>
    </row>
    <row r="211">
      <c r="A211" s="5" t="n"/>
      <c r="B211" s="5" t="n"/>
      <c r="C211" s="5" t="n"/>
      <c r="D211" s="5" t="n"/>
      <c r="E211" s="5" t="n"/>
      <c r="F211" s="5" t="n"/>
      <c r="G211" s="10" t="n"/>
      <c r="H211" s="10" t="n"/>
      <c r="I211" s="10" t="n"/>
      <c r="J211" s="10" t="n"/>
      <c r="K211" s="10" t="n"/>
      <c r="L211" s="10" t="n"/>
    </row>
    <row r="212">
      <c r="A212" s="5" t="n"/>
      <c r="B212" s="5" t="n"/>
      <c r="C212" s="5" t="n"/>
      <c r="D212" s="5" t="n"/>
      <c r="E212" s="5" t="n"/>
      <c r="F212" s="5" t="n"/>
      <c r="G212" s="10" t="n"/>
      <c r="H212" s="10" t="n"/>
      <c r="I212" s="10" t="n"/>
      <c r="J212" s="10" t="n"/>
      <c r="K212" s="10" t="n"/>
      <c r="L212" s="10" t="n"/>
    </row>
    <row r="213">
      <c r="A213" s="5" t="n"/>
      <c r="B213" s="5" t="n"/>
      <c r="C213" s="5" t="n"/>
      <c r="D213" s="5" t="n"/>
      <c r="E213" s="5" t="n"/>
      <c r="F213" s="5" t="n"/>
      <c r="G213" s="10" t="n"/>
      <c r="H213" s="10" t="n"/>
      <c r="I213" s="10" t="n"/>
      <c r="J213" s="10" t="n"/>
      <c r="K213" s="10" t="n"/>
      <c r="L213" s="10" t="n"/>
    </row>
    <row r="214">
      <c r="A214" s="5" t="n"/>
      <c r="B214" s="5" t="n"/>
      <c r="C214" s="5" t="n"/>
      <c r="D214" s="5" t="n"/>
      <c r="E214" s="5" t="n"/>
      <c r="F214" s="5" t="n"/>
      <c r="G214" s="10" t="n"/>
      <c r="H214" s="10" t="n"/>
      <c r="I214" s="10" t="n"/>
      <c r="J214" s="10" t="n"/>
      <c r="K214" s="10" t="n"/>
      <c r="L214" s="10" t="n"/>
    </row>
    <row r="215">
      <c r="A215" s="5" t="n"/>
      <c r="B215" s="5" t="n"/>
      <c r="C215" s="5" t="n"/>
      <c r="D215" s="5" t="n"/>
      <c r="E215" s="5" t="n"/>
      <c r="F215" s="5" t="n"/>
      <c r="G215" s="10" t="n"/>
      <c r="H215" s="10" t="n"/>
      <c r="I215" s="10" t="n"/>
      <c r="J215" s="10" t="n"/>
      <c r="K215" s="10" t="n"/>
      <c r="L215" s="10" t="n"/>
    </row>
    <row r="216">
      <c r="A216" s="5" t="n"/>
      <c r="B216" s="5" t="n"/>
      <c r="C216" s="5" t="n"/>
      <c r="D216" s="5" t="n"/>
      <c r="E216" s="5" t="n"/>
      <c r="F216" s="5" t="n"/>
      <c r="G216" s="10" t="n"/>
      <c r="H216" s="10" t="n"/>
      <c r="I216" s="10" t="n"/>
      <c r="J216" s="10" t="n"/>
      <c r="K216" s="10" t="n"/>
      <c r="L216" s="10" t="n"/>
    </row>
    <row r="217">
      <c r="A217" s="5" t="n"/>
      <c r="B217" s="5" t="n"/>
      <c r="C217" s="5" t="n"/>
      <c r="D217" s="5" t="n"/>
      <c r="E217" s="5" t="n"/>
      <c r="F217" s="5" t="n"/>
      <c r="G217" s="10" t="n"/>
      <c r="H217" s="10" t="n"/>
      <c r="I217" s="10" t="n"/>
      <c r="J217" s="10" t="n"/>
      <c r="K217" s="10" t="n"/>
      <c r="L217" s="10" t="n"/>
    </row>
    <row r="218">
      <c r="A218" s="5" t="n"/>
      <c r="B218" s="5" t="n"/>
      <c r="C218" s="5" t="n"/>
      <c r="D218" s="5" t="n"/>
      <c r="E218" s="5" t="n"/>
      <c r="F218" s="5" t="n"/>
      <c r="G218" s="10" t="n"/>
      <c r="H218" s="10" t="n"/>
      <c r="I218" s="10" t="n"/>
      <c r="J218" s="10" t="n"/>
      <c r="K218" s="10" t="n"/>
      <c r="L218" s="10" t="n"/>
    </row>
    <row r="219">
      <c r="A219" s="5" t="n"/>
      <c r="B219" s="5" t="n"/>
      <c r="C219" s="5" t="n"/>
      <c r="D219" s="5" t="n"/>
      <c r="E219" s="5" t="n"/>
      <c r="F219" s="5" t="n"/>
      <c r="G219" s="10" t="n"/>
      <c r="H219" s="10" t="n"/>
      <c r="I219" s="10" t="n"/>
      <c r="J219" s="10" t="n"/>
      <c r="K219" s="10" t="n"/>
      <c r="L219" s="10" t="n"/>
    </row>
    <row r="220">
      <c r="A220" s="5" t="n"/>
      <c r="B220" s="5" t="n"/>
      <c r="C220" s="5" t="n"/>
      <c r="D220" s="5" t="n"/>
      <c r="E220" s="5" t="n"/>
      <c r="F220" s="5" t="n"/>
      <c r="G220" s="10" t="n"/>
      <c r="H220" s="10" t="n"/>
      <c r="I220" s="10" t="n"/>
      <c r="J220" s="10" t="n"/>
      <c r="K220" s="10" t="n"/>
      <c r="L220" s="10" t="n"/>
    </row>
    <row r="221">
      <c r="A221" s="5" t="n"/>
      <c r="B221" s="5" t="n"/>
      <c r="C221" s="5" t="n"/>
      <c r="D221" s="5" t="n"/>
      <c r="E221" s="5" t="n"/>
      <c r="F221" s="5" t="n"/>
      <c r="G221" s="10" t="n"/>
      <c r="H221" s="10" t="n"/>
      <c r="I221" s="10" t="n"/>
      <c r="J221" s="10" t="n"/>
      <c r="K221" s="10" t="n"/>
      <c r="L221" s="10" t="n"/>
    </row>
    <row r="222">
      <c r="A222" s="5" t="n"/>
      <c r="B222" s="5" t="n"/>
      <c r="C222" s="5" t="n"/>
      <c r="D222" s="5" t="n"/>
      <c r="E222" s="5" t="n"/>
      <c r="F222" s="5" t="n"/>
      <c r="G222" s="10" t="n"/>
      <c r="H222" s="10" t="n"/>
      <c r="I222" s="10" t="n"/>
      <c r="J222" s="10" t="n"/>
      <c r="K222" s="10" t="n"/>
      <c r="L222" s="10" t="n"/>
    </row>
    <row r="223">
      <c r="A223" s="5" t="n"/>
      <c r="B223" s="5" t="n"/>
      <c r="C223" s="5" t="n"/>
      <c r="D223" s="5" t="n"/>
      <c r="E223" s="5" t="n"/>
      <c r="F223" s="5" t="n"/>
      <c r="G223" s="10" t="n"/>
      <c r="H223" s="10" t="n"/>
      <c r="I223" s="10" t="n"/>
      <c r="J223" s="10" t="n"/>
      <c r="K223" s="10" t="n"/>
      <c r="L223" s="10" t="n"/>
    </row>
    <row r="224">
      <c r="A224" s="5" t="n"/>
      <c r="B224" s="5" t="n"/>
      <c r="C224" s="5" t="n"/>
      <c r="D224" s="5" t="n"/>
      <c r="E224" s="5" t="n"/>
      <c r="F224" s="5" t="n"/>
      <c r="G224" s="10" t="n"/>
      <c r="H224" s="10" t="n"/>
      <c r="I224" s="10" t="n"/>
      <c r="J224" s="10" t="n"/>
      <c r="K224" s="10" t="n"/>
      <c r="L224" s="10" t="n"/>
    </row>
    <row r="225">
      <c r="A225" s="5" t="n"/>
      <c r="B225" s="5" t="n"/>
      <c r="C225" s="5" t="n"/>
      <c r="D225" s="5" t="n"/>
      <c r="E225" s="5" t="n"/>
      <c r="F225" s="5" t="n"/>
      <c r="G225" s="10" t="n"/>
      <c r="H225" s="10" t="n"/>
      <c r="I225" s="10" t="n"/>
      <c r="J225" s="10" t="n"/>
      <c r="K225" s="10" t="n"/>
      <c r="L225" s="10" t="n"/>
    </row>
    <row r="226">
      <c r="A226" s="5" t="n"/>
      <c r="B226" s="5" t="n"/>
      <c r="C226" s="5" t="n"/>
      <c r="D226" s="5" t="n"/>
      <c r="E226" s="5" t="n"/>
      <c r="F226" s="5" t="n"/>
      <c r="G226" s="10" t="n"/>
      <c r="H226" s="10" t="n"/>
      <c r="I226" s="10" t="n"/>
      <c r="J226" s="10" t="n"/>
      <c r="K226" s="10" t="n"/>
      <c r="L226" s="10" t="n"/>
    </row>
    <row r="227">
      <c r="A227" s="5" t="n"/>
      <c r="B227" s="5" t="n"/>
      <c r="C227" s="5" t="n"/>
      <c r="D227" s="5" t="n"/>
      <c r="E227" s="5" t="n"/>
      <c r="F227" s="5" t="n"/>
      <c r="G227" s="10" t="n"/>
      <c r="H227" s="10" t="n"/>
      <c r="I227" s="10" t="n"/>
      <c r="J227" s="10" t="n"/>
      <c r="K227" s="10" t="n"/>
      <c r="L227" s="10" t="n"/>
    </row>
    <row r="228">
      <c r="A228" s="5" t="n"/>
      <c r="B228" s="5" t="n"/>
      <c r="C228" s="5" t="n"/>
      <c r="D228" s="5" t="n"/>
      <c r="E228" s="5" t="n"/>
      <c r="F228" s="5" t="n"/>
      <c r="G228" s="10" t="n"/>
      <c r="H228" s="10" t="n"/>
      <c r="I228" s="10" t="n"/>
      <c r="J228" s="10" t="n"/>
      <c r="K228" s="10" t="n"/>
      <c r="L228" s="10" t="n"/>
    </row>
    <row r="229">
      <c r="A229" s="5" t="n"/>
      <c r="B229" s="5" t="n"/>
      <c r="C229" s="5" t="n"/>
      <c r="D229" s="5" t="n"/>
      <c r="E229" s="5" t="n"/>
      <c r="F229" s="5" t="n"/>
      <c r="G229" s="10" t="n"/>
      <c r="H229" s="10" t="n"/>
      <c r="I229" s="10" t="n"/>
      <c r="J229" s="10" t="n"/>
      <c r="K229" s="10" t="n"/>
      <c r="L229" s="10" t="n"/>
    </row>
    <row r="230">
      <c r="A230" s="5" t="n"/>
      <c r="B230" s="5" t="n"/>
      <c r="C230" s="5" t="n"/>
      <c r="D230" s="5" t="n"/>
      <c r="E230" s="5" t="n"/>
      <c r="F230" s="5" t="n"/>
      <c r="G230" s="10" t="n"/>
      <c r="H230" s="10" t="n"/>
      <c r="I230" s="10" t="n"/>
      <c r="J230" s="10" t="n"/>
      <c r="K230" s="10" t="n"/>
      <c r="L230" s="10" t="n"/>
    </row>
    <row r="231">
      <c r="A231" s="5" t="n"/>
      <c r="B231" s="5" t="n"/>
      <c r="C231" s="5" t="n"/>
      <c r="D231" s="5" t="n"/>
      <c r="E231" s="5" t="n"/>
      <c r="F231" s="5" t="n"/>
      <c r="G231" s="10" t="n"/>
      <c r="H231" s="10" t="n"/>
      <c r="I231" s="10" t="n"/>
      <c r="J231" s="10" t="n"/>
      <c r="K231" s="10" t="n"/>
      <c r="L231" s="10" t="n"/>
    </row>
    <row r="232">
      <c r="A232" s="5" t="n"/>
      <c r="B232" s="5" t="n"/>
      <c r="C232" s="5" t="n"/>
      <c r="D232" s="5" t="n"/>
      <c r="E232" s="5" t="n"/>
      <c r="F232" s="5" t="n"/>
      <c r="G232" s="10" t="n"/>
      <c r="H232" s="10" t="n"/>
      <c r="I232" s="10" t="n"/>
      <c r="J232" s="10" t="n"/>
      <c r="K232" s="10" t="n"/>
      <c r="L232" s="10" t="n"/>
    </row>
    <row r="233">
      <c r="A233" s="5" t="n"/>
      <c r="B233" s="5" t="n"/>
      <c r="C233" s="5" t="n"/>
      <c r="D233" s="5" t="n"/>
      <c r="E233" s="5" t="n"/>
      <c r="F233" s="5" t="n"/>
      <c r="G233" s="10" t="n"/>
      <c r="H233" s="10" t="n"/>
      <c r="I233" s="10" t="n"/>
      <c r="J233" s="10" t="n"/>
      <c r="K233" s="10" t="n"/>
      <c r="L233" s="10" t="n"/>
    </row>
    <row r="234">
      <c r="A234" s="5" t="n"/>
      <c r="B234" s="5" t="n"/>
      <c r="C234" s="5" t="n"/>
      <c r="D234" s="5" t="n"/>
      <c r="E234" s="5" t="n"/>
      <c r="F234" s="5" t="n"/>
      <c r="G234" s="10" t="n"/>
      <c r="H234" s="10" t="n"/>
      <c r="I234" s="10" t="n"/>
      <c r="J234" s="10" t="n"/>
      <c r="K234" s="10" t="n"/>
      <c r="L234" s="10" t="n"/>
    </row>
    <row r="235">
      <c r="A235" s="5" t="n"/>
      <c r="B235" s="5" t="n"/>
      <c r="C235" s="5" t="n"/>
      <c r="D235" s="5" t="n"/>
      <c r="E235" s="5" t="n"/>
      <c r="F235" s="5" t="n"/>
      <c r="G235" s="10" t="n"/>
      <c r="H235" s="10" t="n"/>
      <c r="I235" s="10" t="n"/>
      <c r="J235" s="10" t="n"/>
      <c r="K235" s="10" t="n"/>
      <c r="L235" s="10" t="n"/>
    </row>
    <row r="236">
      <c r="A236" s="5" t="n"/>
      <c r="B236" s="5" t="n"/>
      <c r="C236" s="5" t="n"/>
      <c r="D236" s="5" t="n"/>
      <c r="E236" s="5" t="n"/>
      <c r="F236" s="5" t="n"/>
      <c r="G236" s="10" t="n"/>
      <c r="H236" s="10" t="n"/>
      <c r="I236" s="10" t="n"/>
      <c r="J236" s="10" t="n"/>
      <c r="K236" s="10" t="n"/>
      <c r="L236" s="10" t="n"/>
    </row>
    <row r="237">
      <c r="A237" s="5" t="n"/>
      <c r="B237" s="5" t="n"/>
      <c r="C237" s="5" t="n"/>
      <c r="D237" s="5" t="n"/>
      <c r="E237" s="5" t="n"/>
      <c r="F237" s="5" t="n"/>
      <c r="G237" s="10" t="n"/>
      <c r="H237" s="10" t="n"/>
      <c r="I237" s="10" t="n"/>
      <c r="J237" s="10" t="n"/>
      <c r="K237" s="10" t="n"/>
      <c r="L237" s="10" t="n"/>
    </row>
    <row r="238">
      <c r="A238" s="5" t="n"/>
      <c r="B238" s="5" t="n"/>
      <c r="C238" s="5" t="n"/>
      <c r="D238" s="5" t="n"/>
      <c r="E238" s="5" t="n"/>
      <c r="F238" s="5" t="n"/>
      <c r="G238" s="10" t="n"/>
      <c r="H238" s="10" t="n"/>
      <c r="I238" s="10" t="n"/>
      <c r="J238" s="10" t="n"/>
      <c r="K238" s="10" t="n"/>
      <c r="L238" s="10" t="n"/>
    </row>
    <row r="239">
      <c r="A239" s="5" t="n"/>
      <c r="B239" s="5" t="n"/>
      <c r="C239" s="5" t="n"/>
      <c r="D239" s="5" t="n"/>
      <c r="E239" s="5" t="n"/>
      <c r="F239" s="5" t="n"/>
      <c r="G239" s="10" t="n"/>
      <c r="H239" s="10" t="n"/>
      <c r="I239" s="10" t="n"/>
      <c r="J239" s="10" t="n"/>
      <c r="K239" s="10" t="n"/>
      <c r="L239" s="10" t="n"/>
    </row>
    <row r="240">
      <c r="A240" s="5" t="n"/>
      <c r="B240" s="5" t="n"/>
      <c r="C240" s="5" t="n"/>
      <c r="D240" s="5" t="n"/>
      <c r="E240" s="5" t="n"/>
      <c r="F240" s="5" t="n"/>
      <c r="G240" s="10" t="n"/>
      <c r="H240" s="10" t="n"/>
      <c r="I240" s="10" t="n"/>
      <c r="J240" s="10" t="n"/>
      <c r="K240" s="10" t="n"/>
      <c r="L240" s="10" t="n"/>
    </row>
    <row r="241">
      <c r="A241" s="5" t="n"/>
      <c r="B241" s="5" t="n"/>
      <c r="C241" s="5" t="n"/>
      <c r="D241" s="5" t="n"/>
      <c r="E241" s="5" t="n"/>
      <c r="F241" s="5" t="n"/>
      <c r="G241" s="10" t="n"/>
      <c r="H241" s="10" t="n"/>
      <c r="I241" s="10" t="n"/>
      <c r="J241" s="10" t="n"/>
      <c r="K241" s="10" t="n"/>
      <c r="L241" s="10" t="n"/>
    </row>
    <row r="242">
      <c r="A242" s="5" t="n"/>
      <c r="B242" s="5" t="n"/>
      <c r="C242" s="5" t="n"/>
      <c r="D242" s="5" t="n"/>
      <c r="E242" s="5" t="n"/>
      <c r="F242" s="5" t="n"/>
      <c r="G242" s="10" t="n"/>
      <c r="H242" s="10" t="n"/>
      <c r="I242" s="10" t="n"/>
      <c r="J242" s="10" t="n"/>
      <c r="K242" s="10" t="n"/>
      <c r="L242" s="10" t="n"/>
    </row>
    <row r="243">
      <c r="A243" s="5" t="n"/>
      <c r="B243" s="5" t="n"/>
      <c r="C243" s="5" t="n"/>
      <c r="D243" s="5" t="n"/>
      <c r="E243" s="5" t="n"/>
      <c r="F243" s="5" t="n"/>
      <c r="G243" s="10" t="n"/>
      <c r="H243" s="10" t="n"/>
      <c r="I243" s="10" t="n"/>
      <c r="J243" s="10" t="n"/>
      <c r="K243" s="10" t="n"/>
      <c r="L243" s="10" t="n"/>
    </row>
    <row r="244">
      <c r="A244" s="5" t="n"/>
      <c r="B244" s="5" t="n"/>
      <c r="C244" s="5" t="n"/>
      <c r="D244" s="5" t="n"/>
      <c r="E244" s="5" t="n"/>
      <c r="F244" s="5" t="n"/>
      <c r="G244" s="10" t="n"/>
      <c r="H244" s="10" t="n"/>
      <c r="I244" s="10" t="n"/>
      <c r="J244" s="10" t="n"/>
      <c r="K244" s="10" t="n"/>
      <c r="L244" s="10" t="n"/>
    </row>
    <row r="245">
      <c r="A245" s="5" t="n"/>
      <c r="B245" s="5" t="n"/>
      <c r="C245" s="5" t="n"/>
      <c r="D245" s="5" t="n"/>
      <c r="E245" s="5" t="n"/>
      <c r="F245" s="5" t="n"/>
      <c r="G245" s="10" t="n"/>
      <c r="H245" s="10" t="n"/>
      <c r="I245" s="10" t="n"/>
      <c r="J245" s="10" t="n"/>
      <c r="K245" s="10" t="n"/>
      <c r="L245" s="10" t="n"/>
    </row>
    <row r="246">
      <c r="A246" s="5" t="n"/>
      <c r="B246" s="5" t="n"/>
      <c r="C246" s="5" t="n"/>
      <c r="D246" s="5" t="n"/>
      <c r="E246" s="5" t="n"/>
      <c r="F246" s="5" t="n"/>
      <c r="G246" s="10" t="n"/>
      <c r="H246" s="10" t="n"/>
      <c r="I246" s="10" t="n"/>
      <c r="J246" s="10" t="n"/>
      <c r="K246" s="10" t="n"/>
      <c r="L246" s="10" t="n"/>
    </row>
    <row r="247">
      <c r="A247" s="5" t="n"/>
      <c r="B247" s="5" t="n"/>
      <c r="C247" s="5" t="n"/>
      <c r="D247" s="5" t="n"/>
      <c r="E247" s="5" t="n"/>
      <c r="F247" s="5" t="n"/>
      <c r="G247" s="10" t="n"/>
      <c r="H247" s="10" t="n"/>
      <c r="I247" s="10" t="n"/>
      <c r="J247" s="10" t="n"/>
      <c r="K247" s="10" t="n"/>
      <c r="L247" s="10" t="n"/>
    </row>
    <row r="248">
      <c r="A248" s="5" t="n"/>
      <c r="B248" s="5" t="n"/>
      <c r="C248" s="5" t="n"/>
      <c r="D248" s="5" t="n"/>
      <c r="E248" s="5" t="n"/>
      <c r="F248" s="5" t="n"/>
      <c r="G248" s="10" t="n"/>
      <c r="H248" s="10" t="n"/>
      <c r="I248" s="10" t="n"/>
      <c r="J248" s="10" t="n"/>
      <c r="K248" s="10" t="n"/>
      <c r="L248" s="10" t="n"/>
    </row>
    <row r="249">
      <c r="A249" s="5" t="n"/>
      <c r="B249" s="5" t="n"/>
      <c r="C249" s="5" t="n"/>
      <c r="D249" s="5" t="n"/>
      <c r="E249" s="5" t="n"/>
      <c r="F249" s="5" t="n"/>
      <c r="G249" s="10" t="n"/>
      <c r="H249" s="10" t="n"/>
      <c r="I249" s="10" t="n"/>
      <c r="J249" s="10" t="n"/>
      <c r="K249" s="10" t="n"/>
      <c r="L249" s="10" t="n"/>
    </row>
    <row r="250">
      <c r="A250" s="5" t="n"/>
      <c r="B250" s="5" t="n"/>
      <c r="C250" s="5" t="n"/>
      <c r="D250" s="5" t="n"/>
      <c r="E250" s="5" t="n"/>
      <c r="F250" s="5" t="n"/>
      <c r="G250" s="10" t="n"/>
      <c r="H250" s="10" t="n"/>
      <c r="I250" s="10" t="n"/>
      <c r="J250" s="10" t="n"/>
      <c r="K250" s="10" t="n"/>
      <c r="L250" s="10" t="n"/>
    </row>
    <row r="251">
      <c r="A251" s="5" t="n"/>
      <c r="B251" s="5" t="n"/>
      <c r="C251" s="5" t="n"/>
      <c r="D251" s="5" t="n"/>
      <c r="E251" s="5" t="n"/>
      <c r="F251" s="5" t="n"/>
      <c r="G251" s="10" t="n"/>
      <c r="H251" s="10" t="n"/>
      <c r="I251" s="10" t="n"/>
      <c r="J251" s="10" t="n"/>
      <c r="K251" s="10" t="n"/>
      <c r="L251" s="10" t="n"/>
    </row>
    <row r="252">
      <c r="A252" s="5" t="n"/>
      <c r="B252" s="5" t="n"/>
      <c r="C252" s="5" t="n"/>
      <c r="D252" s="5" t="n"/>
      <c r="E252" s="5" t="n"/>
      <c r="F252" s="5" t="n"/>
      <c r="G252" s="10" t="n"/>
      <c r="H252" s="10" t="n"/>
      <c r="I252" s="10" t="n"/>
      <c r="J252" s="10" t="n"/>
      <c r="K252" s="10" t="n"/>
      <c r="L252" s="10" t="n"/>
    </row>
    <row r="253">
      <c r="A253" s="5" t="n"/>
      <c r="B253" s="5" t="n"/>
      <c r="C253" s="5" t="n"/>
      <c r="D253" s="5" t="n"/>
      <c r="E253" s="5" t="n"/>
      <c r="F253" s="5" t="n"/>
      <c r="G253" s="10" t="n"/>
      <c r="H253" s="10" t="n"/>
      <c r="I253" s="10" t="n"/>
      <c r="J253" s="10" t="n"/>
      <c r="K253" s="10" t="n"/>
      <c r="L253" s="10" t="n"/>
    </row>
    <row r="254">
      <c r="A254" s="5" t="n"/>
      <c r="B254" s="5" t="n"/>
      <c r="C254" s="5" t="n"/>
      <c r="D254" s="5" t="n"/>
      <c r="E254" s="5" t="n"/>
      <c r="F254" s="5" t="n"/>
      <c r="G254" s="10" t="n"/>
      <c r="H254" s="10" t="n"/>
      <c r="I254" s="10" t="n"/>
      <c r="J254" s="10" t="n"/>
      <c r="K254" s="10" t="n"/>
      <c r="L254" s="10" t="n"/>
    </row>
    <row r="255">
      <c r="A255" s="5" t="n"/>
      <c r="B255" s="5" t="n"/>
      <c r="C255" s="5" t="n"/>
      <c r="D255" s="5" t="n"/>
      <c r="E255" s="5" t="n"/>
      <c r="F255" s="5" t="n"/>
      <c r="G255" s="10" t="n"/>
      <c r="H255" s="10" t="n"/>
      <c r="I255" s="10" t="n"/>
      <c r="J255" s="10" t="n"/>
      <c r="K255" s="10" t="n"/>
      <c r="L255" s="10" t="n"/>
    </row>
    <row r="256">
      <c r="A256" s="5" t="n"/>
      <c r="B256" s="5" t="n"/>
      <c r="C256" s="5" t="n"/>
      <c r="D256" s="5" t="n"/>
      <c r="E256" s="5" t="n"/>
      <c r="F256" s="5" t="n"/>
      <c r="G256" s="10" t="n"/>
      <c r="H256" s="10" t="n"/>
      <c r="I256" s="10" t="n"/>
      <c r="J256" s="10" t="n"/>
      <c r="K256" s="10" t="n"/>
      <c r="L256" s="10" t="n"/>
    </row>
    <row r="257">
      <c r="A257" s="5" t="n"/>
      <c r="B257" s="5" t="n"/>
      <c r="C257" s="5" t="n"/>
      <c r="D257" s="5" t="n"/>
      <c r="E257" s="5" t="n"/>
      <c r="F257" s="5" t="n"/>
      <c r="G257" s="10" t="n"/>
      <c r="H257" s="10" t="n"/>
      <c r="I257" s="10" t="n"/>
      <c r="J257" s="10" t="n"/>
      <c r="K257" s="10" t="n"/>
      <c r="L257" s="10" t="n"/>
    </row>
    <row r="258">
      <c r="A258" s="5" t="n"/>
      <c r="B258" s="5" t="n"/>
      <c r="C258" s="5" t="n"/>
      <c r="D258" s="5" t="n"/>
      <c r="E258" s="5" t="n"/>
      <c r="F258" s="5" t="n"/>
      <c r="G258" s="10" t="n"/>
      <c r="H258" s="10" t="n"/>
      <c r="I258" s="10" t="n"/>
      <c r="J258" s="10" t="n"/>
      <c r="K258" s="10" t="n"/>
      <c r="L258" s="10" t="n"/>
    </row>
    <row r="259">
      <c r="A259" s="5" t="n"/>
      <c r="B259" s="5" t="n"/>
      <c r="C259" s="5" t="n"/>
      <c r="D259" s="5" t="n"/>
      <c r="E259" s="5" t="n"/>
      <c r="F259" s="5" t="n"/>
      <c r="G259" s="10" t="n"/>
      <c r="H259" s="10" t="n"/>
      <c r="I259" s="10" t="n"/>
      <c r="J259" s="10" t="n"/>
      <c r="K259" s="10" t="n"/>
      <c r="L259" s="10" t="n"/>
    </row>
    <row r="260">
      <c r="A260" s="5" t="n"/>
      <c r="B260" s="5" t="n"/>
      <c r="C260" s="5" t="n"/>
      <c r="D260" s="5" t="n"/>
      <c r="E260" s="5" t="n"/>
      <c r="F260" s="5" t="n"/>
      <c r="G260" s="10" t="n"/>
      <c r="H260" s="10" t="n"/>
      <c r="I260" s="10" t="n"/>
      <c r="J260" s="10" t="n"/>
      <c r="K260" s="10" t="n"/>
      <c r="L260" s="10" t="n"/>
    </row>
    <row r="261">
      <c r="A261" s="5" t="n"/>
      <c r="B261" s="5" t="n"/>
      <c r="C261" s="5" t="n"/>
      <c r="D261" s="5" t="n"/>
      <c r="E261" s="5" t="n"/>
      <c r="F261" s="5" t="n"/>
      <c r="G261" s="10" t="n"/>
      <c r="H261" s="10" t="n"/>
      <c r="I261" s="10" t="n"/>
      <c r="J261" s="10" t="n"/>
      <c r="K261" s="10" t="n"/>
      <c r="L261" s="10" t="n"/>
    </row>
    <row r="262">
      <c r="A262" s="5" t="n"/>
      <c r="B262" s="5" t="n"/>
      <c r="C262" s="5" t="n"/>
      <c r="D262" s="5" t="n"/>
      <c r="E262" s="5" t="n"/>
      <c r="F262" s="5" t="n"/>
      <c r="G262" s="10" t="n"/>
      <c r="H262" s="10" t="n"/>
      <c r="I262" s="10" t="n"/>
      <c r="J262" s="10" t="n"/>
      <c r="K262" s="10" t="n"/>
      <c r="L262" s="10" t="n"/>
    </row>
    <row r="263">
      <c r="A263" s="5" t="n"/>
      <c r="B263" s="5" t="n"/>
      <c r="C263" s="5" t="n"/>
      <c r="D263" s="5" t="n"/>
      <c r="E263" s="5" t="n"/>
      <c r="F263" s="5" t="n"/>
      <c r="G263" s="10" t="n"/>
      <c r="H263" s="10" t="n"/>
      <c r="I263" s="10" t="n"/>
      <c r="J263" s="10" t="n"/>
      <c r="K263" s="10" t="n"/>
      <c r="L263" s="10" t="n"/>
    </row>
    <row r="264">
      <c r="A264" s="5" t="n"/>
      <c r="B264" s="5" t="n"/>
      <c r="C264" s="5" t="n"/>
      <c r="D264" s="5" t="n"/>
      <c r="E264" s="5" t="n"/>
      <c r="F264" s="5" t="n"/>
      <c r="G264" s="10" t="n"/>
      <c r="H264" s="10" t="n"/>
      <c r="I264" s="10" t="n"/>
      <c r="J264" s="10" t="n"/>
      <c r="K264" s="10" t="n"/>
      <c r="L264" s="10" t="n"/>
    </row>
    <row r="265">
      <c r="A265" s="5" t="n"/>
      <c r="B265" s="5" t="n"/>
      <c r="C265" s="5" t="n"/>
      <c r="D265" s="5" t="n"/>
      <c r="E265" s="5" t="n"/>
      <c r="F265" s="5" t="n"/>
      <c r="G265" s="10" t="n"/>
      <c r="H265" s="10" t="n"/>
      <c r="I265" s="10" t="n"/>
      <c r="J265" s="10" t="n"/>
      <c r="K265" s="10" t="n"/>
      <c r="L265" s="10" t="n"/>
    </row>
    <row r="266">
      <c r="A266" s="5" t="n"/>
      <c r="B266" s="5" t="n"/>
      <c r="C266" s="5" t="n"/>
      <c r="D266" s="5" t="n"/>
      <c r="E266" s="5" t="n"/>
      <c r="F266" s="5" t="n"/>
      <c r="G266" s="10" t="n"/>
      <c r="H266" s="10" t="n"/>
      <c r="I266" s="10" t="n"/>
      <c r="J266" s="10" t="n"/>
      <c r="K266" s="10" t="n"/>
      <c r="L266" s="10" t="n"/>
    </row>
    <row r="267">
      <c r="A267" s="5" t="n"/>
      <c r="B267" s="5" t="n"/>
      <c r="C267" s="5" t="n"/>
      <c r="D267" s="5" t="n"/>
      <c r="E267" s="5" t="n"/>
      <c r="F267" s="5" t="n"/>
      <c r="G267" s="10" t="n"/>
      <c r="H267" s="10" t="n"/>
      <c r="I267" s="10" t="n"/>
      <c r="J267" s="10" t="n"/>
      <c r="K267" s="10" t="n"/>
      <c r="L267" s="10" t="n"/>
    </row>
    <row r="268">
      <c r="A268" s="5" t="n"/>
      <c r="B268" s="5" t="n"/>
      <c r="C268" s="5" t="n"/>
      <c r="D268" s="5" t="n"/>
      <c r="E268" s="5" t="n"/>
      <c r="F268" s="5" t="n"/>
      <c r="G268" s="10" t="n"/>
      <c r="H268" s="10" t="n"/>
      <c r="I268" s="10" t="n"/>
      <c r="J268" s="10" t="n"/>
      <c r="K268" s="10" t="n"/>
      <c r="L268" s="10" t="n"/>
    </row>
    <row r="269">
      <c r="A269" s="5" t="n"/>
      <c r="B269" s="5" t="n"/>
      <c r="C269" s="5" t="n"/>
      <c r="D269" s="5" t="n"/>
      <c r="E269" s="5" t="n"/>
      <c r="F269" s="5" t="n"/>
      <c r="G269" s="10" t="n"/>
      <c r="H269" s="10" t="n"/>
      <c r="I269" s="10" t="n"/>
      <c r="J269" s="10" t="n"/>
      <c r="K269" s="10" t="n"/>
      <c r="L269" s="10" t="n"/>
    </row>
    <row r="270">
      <c r="A270" s="5" t="n"/>
      <c r="B270" s="5" t="n"/>
      <c r="C270" s="5" t="n"/>
      <c r="D270" s="5" t="n"/>
      <c r="E270" s="5" t="n"/>
      <c r="F270" s="5" t="n"/>
      <c r="G270" s="10" t="n"/>
      <c r="H270" s="10" t="n"/>
      <c r="I270" s="10" t="n"/>
      <c r="J270" s="10" t="n"/>
      <c r="K270" s="10" t="n"/>
      <c r="L270" s="10" t="n"/>
    </row>
    <row r="271">
      <c r="A271" s="5" t="n"/>
      <c r="B271" s="5" t="n"/>
      <c r="C271" s="5" t="n"/>
      <c r="D271" s="5" t="n"/>
      <c r="E271" s="5" t="n"/>
      <c r="F271" s="5" t="n"/>
      <c r="G271" s="10" t="n"/>
      <c r="H271" s="10" t="n"/>
      <c r="I271" s="10" t="n"/>
      <c r="J271" s="10" t="n"/>
      <c r="K271" s="10" t="n"/>
      <c r="L271" s="10" t="n"/>
    </row>
    <row r="272">
      <c r="A272" s="5" t="n"/>
      <c r="B272" s="5" t="n"/>
      <c r="C272" s="5" t="n"/>
      <c r="D272" s="5" t="n"/>
      <c r="E272" s="5" t="n"/>
      <c r="F272" s="5" t="n"/>
      <c r="G272" s="10" t="n"/>
      <c r="H272" s="10" t="n"/>
      <c r="I272" s="10" t="n"/>
      <c r="J272" s="10" t="n"/>
      <c r="K272" s="10" t="n"/>
      <c r="L272" s="10" t="n"/>
    </row>
    <row r="273">
      <c r="A273" s="5" t="n"/>
      <c r="B273" s="5" t="n"/>
      <c r="C273" s="5" t="n"/>
      <c r="D273" s="5" t="n"/>
      <c r="E273" s="5" t="n"/>
      <c r="F273" s="5" t="n"/>
      <c r="G273" s="10" t="n"/>
      <c r="H273" s="10" t="n"/>
      <c r="I273" s="10" t="n"/>
      <c r="J273" s="10" t="n"/>
      <c r="K273" s="10" t="n"/>
      <c r="L273" s="10" t="n"/>
    </row>
    <row r="274">
      <c r="A274" s="5" t="n"/>
      <c r="B274" s="5" t="n"/>
      <c r="C274" s="5" t="n"/>
      <c r="D274" s="5" t="n"/>
      <c r="E274" s="5" t="n"/>
      <c r="F274" s="5" t="n"/>
      <c r="G274" s="10" t="n"/>
      <c r="H274" s="10" t="n"/>
      <c r="I274" s="10" t="n"/>
      <c r="J274" s="10" t="n"/>
      <c r="K274" s="10" t="n"/>
      <c r="L274" s="10" t="n"/>
    </row>
    <row r="275">
      <c r="A275" s="5" t="n"/>
      <c r="B275" s="5" t="n"/>
      <c r="C275" s="5" t="n"/>
      <c r="D275" s="5" t="n"/>
      <c r="E275" s="5" t="n"/>
      <c r="F275" s="5" t="n"/>
      <c r="G275" s="10" t="n"/>
      <c r="H275" s="10" t="n"/>
      <c r="I275" s="10" t="n"/>
      <c r="J275" s="10" t="n"/>
      <c r="K275" s="10" t="n"/>
      <c r="L275" s="10" t="n"/>
    </row>
    <row r="276">
      <c r="A276" s="5" t="n"/>
      <c r="B276" s="5" t="n"/>
      <c r="C276" s="5" t="n"/>
      <c r="D276" s="5" t="n"/>
      <c r="E276" s="5" t="n"/>
      <c r="F276" s="5" t="n"/>
      <c r="G276" s="10" t="n"/>
      <c r="H276" s="10" t="n"/>
      <c r="I276" s="10" t="n"/>
      <c r="J276" s="10" t="n"/>
      <c r="K276" s="10" t="n"/>
      <c r="L276" s="10" t="n"/>
    </row>
    <row r="277">
      <c r="A277" s="5" t="n"/>
      <c r="B277" s="5" t="n"/>
      <c r="C277" s="5" t="n"/>
      <c r="D277" s="5" t="n"/>
      <c r="E277" s="5" t="n"/>
      <c r="F277" s="5" t="n"/>
      <c r="G277" s="10" t="n"/>
      <c r="H277" s="10" t="n"/>
      <c r="I277" s="10" t="n"/>
      <c r="J277" s="10" t="n"/>
      <c r="K277" s="10" t="n"/>
      <c r="L277" s="10" t="n"/>
    </row>
    <row r="278">
      <c r="A278" s="5" t="n"/>
      <c r="B278" s="5" t="n"/>
      <c r="C278" s="5" t="n"/>
      <c r="D278" s="5" t="n"/>
      <c r="E278" s="5" t="n"/>
      <c r="F278" s="5" t="n"/>
      <c r="G278" s="10" t="n"/>
      <c r="H278" s="10" t="n"/>
      <c r="I278" s="10" t="n"/>
      <c r="J278" s="10" t="n"/>
      <c r="K278" s="10" t="n"/>
      <c r="L278" s="10" t="n"/>
    </row>
    <row r="279">
      <c r="A279" s="5" t="n"/>
      <c r="B279" s="5" t="n"/>
      <c r="C279" s="5" t="n"/>
      <c r="D279" s="5" t="n"/>
      <c r="E279" s="5" t="n"/>
      <c r="F279" s="5" t="n"/>
      <c r="G279" s="10" t="n"/>
      <c r="H279" s="10" t="n"/>
      <c r="I279" s="10" t="n"/>
      <c r="J279" s="10" t="n"/>
      <c r="K279" s="10" t="n"/>
      <c r="L279" s="10" t="n"/>
    </row>
    <row r="280">
      <c r="A280" s="5" t="n"/>
      <c r="B280" s="5" t="n"/>
      <c r="C280" s="5" t="n"/>
      <c r="D280" s="5" t="n"/>
      <c r="E280" s="5" t="n"/>
      <c r="F280" s="5" t="n"/>
      <c r="G280" s="10" t="n"/>
      <c r="H280" s="10" t="n"/>
      <c r="I280" s="10" t="n"/>
      <c r="J280" s="10" t="n"/>
      <c r="K280" s="10" t="n"/>
      <c r="L280" s="10" t="n"/>
    </row>
    <row r="281">
      <c r="A281" s="5" t="n"/>
      <c r="B281" s="5" t="n"/>
      <c r="C281" s="5" t="n"/>
      <c r="D281" s="5" t="n"/>
      <c r="E281" s="5" t="n"/>
      <c r="F281" s="5" t="n"/>
      <c r="G281" s="10" t="n"/>
      <c r="H281" s="10" t="n"/>
      <c r="I281" s="10" t="n"/>
      <c r="J281" s="10" t="n"/>
      <c r="K281" s="10" t="n"/>
      <c r="L281" s="10" t="n"/>
    </row>
    <row r="282">
      <c r="A282" s="5" t="n"/>
      <c r="B282" s="5" t="n"/>
      <c r="C282" s="5" t="n"/>
      <c r="D282" s="5" t="n"/>
      <c r="E282" s="5" t="n"/>
      <c r="F282" s="5" t="n"/>
      <c r="G282" s="10" t="n"/>
      <c r="H282" s="10" t="n"/>
      <c r="I282" s="10" t="n"/>
      <c r="J282" s="10" t="n"/>
      <c r="K282" s="10" t="n"/>
      <c r="L282" s="10" t="n"/>
    </row>
    <row r="283">
      <c r="A283" s="5" t="n"/>
      <c r="B283" s="5" t="n"/>
      <c r="C283" s="5" t="n"/>
      <c r="D283" s="5" t="n"/>
      <c r="E283" s="5" t="n"/>
      <c r="F283" s="5" t="n"/>
      <c r="G283" s="10" t="n"/>
      <c r="H283" s="10" t="n"/>
      <c r="I283" s="10" t="n"/>
      <c r="J283" s="10" t="n"/>
      <c r="K283" s="10" t="n"/>
      <c r="L283" s="10" t="n"/>
    </row>
    <row r="284">
      <c r="A284" s="5" t="n"/>
      <c r="B284" s="5" t="n"/>
      <c r="C284" s="5" t="n"/>
      <c r="D284" s="5" t="n"/>
      <c r="E284" s="5" t="n"/>
      <c r="F284" s="5" t="n"/>
      <c r="G284" s="10" t="n"/>
      <c r="H284" s="10" t="n"/>
      <c r="I284" s="10" t="n"/>
      <c r="J284" s="10" t="n"/>
      <c r="K284" s="10" t="n"/>
      <c r="L284" s="10" t="n"/>
    </row>
    <row r="285">
      <c r="A285" s="5" t="n"/>
      <c r="B285" s="5" t="n"/>
      <c r="C285" s="5" t="n"/>
      <c r="D285" s="5" t="n"/>
      <c r="E285" s="5" t="n"/>
      <c r="F285" s="5" t="n"/>
      <c r="G285" s="10" t="n"/>
      <c r="H285" s="10" t="n"/>
      <c r="I285" s="10" t="n"/>
      <c r="J285" s="10" t="n"/>
      <c r="K285" s="10" t="n"/>
      <c r="L285" s="10" t="n"/>
    </row>
    <row r="286">
      <c r="A286" s="5" t="n"/>
      <c r="B286" s="5" t="n"/>
      <c r="C286" s="5" t="n"/>
      <c r="D286" s="5" t="n"/>
      <c r="E286" s="5" t="n"/>
      <c r="F286" s="5" t="n"/>
      <c r="G286" s="10" t="n"/>
      <c r="H286" s="10" t="n"/>
      <c r="I286" s="10" t="n"/>
      <c r="J286" s="10" t="n"/>
      <c r="K286" s="10" t="n"/>
      <c r="L286" s="10" t="n"/>
    </row>
    <row r="287">
      <c r="A287" s="5" t="n"/>
      <c r="B287" s="5" t="n"/>
      <c r="C287" s="5" t="n"/>
      <c r="D287" s="5" t="n"/>
      <c r="E287" s="5" t="n"/>
      <c r="F287" s="5" t="n"/>
      <c r="G287" s="10" t="n"/>
      <c r="H287" s="10" t="n"/>
      <c r="I287" s="10" t="n"/>
      <c r="J287" s="10" t="n"/>
      <c r="K287" s="10" t="n"/>
      <c r="L287" s="10" t="n"/>
    </row>
    <row r="288">
      <c r="A288" s="5" t="n"/>
      <c r="B288" s="5" t="n"/>
      <c r="C288" s="5" t="n"/>
      <c r="D288" s="5" t="n"/>
      <c r="E288" s="5" t="n"/>
      <c r="F288" s="5" t="n"/>
      <c r="G288" s="10" t="n"/>
      <c r="H288" s="10" t="n"/>
      <c r="I288" s="10" t="n"/>
      <c r="J288" s="10" t="n"/>
      <c r="K288" s="10" t="n"/>
      <c r="L288" s="10" t="n"/>
    </row>
    <row r="289">
      <c r="A289" s="5" t="n"/>
      <c r="B289" s="5" t="n"/>
      <c r="C289" s="5" t="n"/>
      <c r="D289" s="5" t="n"/>
      <c r="E289" s="5" t="n"/>
      <c r="F289" s="5" t="n"/>
      <c r="G289" s="10" t="n"/>
      <c r="H289" s="10" t="n"/>
      <c r="I289" s="10" t="n"/>
      <c r="J289" s="10" t="n"/>
      <c r="K289" s="10" t="n"/>
      <c r="L289" s="10" t="n"/>
    </row>
    <row r="290">
      <c r="A290" s="5" t="n"/>
      <c r="B290" s="5" t="n"/>
      <c r="C290" s="5" t="n"/>
      <c r="D290" s="5" t="n"/>
      <c r="E290" s="5" t="n"/>
      <c r="F290" s="5" t="n"/>
      <c r="G290" s="10" t="n"/>
      <c r="H290" s="10" t="n"/>
      <c r="I290" s="10" t="n"/>
      <c r="J290" s="10" t="n"/>
      <c r="K290" s="10" t="n"/>
      <c r="L290" s="10" t="n"/>
    </row>
    <row r="291">
      <c r="A291" s="5" t="n"/>
      <c r="B291" s="5" t="n"/>
      <c r="C291" s="5" t="n"/>
      <c r="D291" s="5" t="n"/>
      <c r="E291" s="5" t="n"/>
      <c r="F291" s="5" t="n"/>
      <c r="G291" s="10" t="n"/>
      <c r="H291" s="10" t="n"/>
      <c r="I291" s="10" t="n"/>
      <c r="J291" s="10" t="n"/>
      <c r="K291" s="10" t="n"/>
      <c r="L291" s="10" t="n"/>
    </row>
    <row r="292">
      <c r="A292" s="5" t="n"/>
      <c r="B292" s="5" t="n"/>
      <c r="C292" s="5" t="n"/>
      <c r="D292" s="5" t="n"/>
      <c r="E292" s="5" t="n"/>
      <c r="F292" s="5" t="n"/>
      <c r="G292" s="10" t="n"/>
      <c r="H292" s="10" t="n"/>
      <c r="I292" s="10" t="n"/>
      <c r="J292" s="10" t="n"/>
      <c r="K292" s="10" t="n"/>
      <c r="L292" s="10" t="n"/>
    </row>
    <row r="293">
      <c r="A293" s="5" t="n"/>
      <c r="B293" s="5" t="n"/>
      <c r="C293" s="5" t="n"/>
      <c r="D293" s="5" t="n"/>
      <c r="E293" s="5" t="n"/>
      <c r="F293" s="5" t="n"/>
      <c r="G293" s="10" t="n"/>
      <c r="H293" s="10" t="n"/>
      <c r="I293" s="10" t="n"/>
      <c r="J293" s="10" t="n"/>
      <c r="K293" s="10" t="n"/>
      <c r="L293" s="10" t="n"/>
    </row>
    <row r="294">
      <c r="A294" s="5" t="n"/>
      <c r="B294" s="5" t="n"/>
      <c r="C294" s="5" t="n"/>
      <c r="D294" s="5" t="n"/>
      <c r="E294" s="5" t="n"/>
      <c r="F294" s="5" t="n"/>
      <c r="G294" s="10" t="n"/>
      <c r="H294" s="10" t="n"/>
      <c r="I294" s="10" t="n"/>
      <c r="J294" s="10" t="n"/>
      <c r="K294" s="10" t="n"/>
      <c r="L294" s="10" t="n"/>
    </row>
    <row r="295">
      <c r="A295" s="5" t="n"/>
      <c r="B295" s="5" t="n"/>
      <c r="C295" s="5" t="n"/>
      <c r="D295" s="5" t="n"/>
      <c r="E295" s="5" t="n"/>
      <c r="F295" s="5" t="n"/>
      <c r="G295" s="10" t="n"/>
      <c r="H295" s="10" t="n"/>
      <c r="I295" s="10" t="n"/>
      <c r="J295" s="10" t="n"/>
      <c r="K295" s="10" t="n"/>
      <c r="L295" s="10" t="n"/>
    </row>
    <row r="296">
      <c r="A296" s="5" t="n"/>
      <c r="B296" s="5" t="n"/>
      <c r="C296" s="5" t="n"/>
      <c r="D296" s="5" t="n"/>
      <c r="E296" s="5" t="n"/>
      <c r="F296" s="5" t="n"/>
      <c r="G296" s="10" t="n"/>
      <c r="H296" s="10" t="n"/>
      <c r="I296" s="10" t="n"/>
      <c r="J296" s="10" t="n"/>
      <c r="K296" s="10" t="n"/>
      <c r="L296" s="10" t="n"/>
    </row>
    <row r="297">
      <c r="A297" s="5" t="n"/>
      <c r="B297" s="5" t="n"/>
      <c r="C297" s="5" t="n"/>
      <c r="D297" s="5" t="n"/>
      <c r="E297" s="5" t="n"/>
      <c r="F297" s="5" t="n"/>
      <c r="G297" s="10" t="n"/>
      <c r="H297" s="10" t="n"/>
      <c r="I297" s="10" t="n"/>
      <c r="J297" s="10" t="n"/>
      <c r="K297" s="10" t="n"/>
      <c r="L297" s="10" t="n"/>
    </row>
    <row r="298">
      <c r="A298" s="5" t="n"/>
      <c r="B298" s="5" t="n"/>
      <c r="C298" s="5" t="n"/>
      <c r="D298" s="5" t="n"/>
      <c r="E298" s="5" t="n"/>
      <c r="F298" s="5" t="n"/>
      <c r="G298" s="10" t="n"/>
      <c r="H298" s="10" t="n"/>
      <c r="I298" s="10" t="n"/>
      <c r="J298" s="10" t="n"/>
      <c r="K298" s="10" t="n"/>
      <c r="L298" s="10" t="n"/>
    </row>
    <row r="299">
      <c r="A299" s="5" t="n"/>
      <c r="B299" s="5" t="n"/>
      <c r="C299" s="5" t="n"/>
      <c r="D299" s="5" t="n"/>
      <c r="E299" s="5" t="n"/>
      <c r="F299" s="5" t="n"/>
      <c r="G299" s="10" t="n"/>
      <c r="H299" s="10" t="n"/>
      <c r="I299" s="10" t="n"/>
      <c r="J299" s="10" t="n"/>
      <c r="K299" s="10" t="n"/>
      <c r="L299" s="10" t="n"/>
    </row>
    <row r="300">
      <c r="A300" s="5" t="n"/>
      <c r="B300" s="5" t="n"/>
      <c r="C300" s="5" t="n"/>
      <c r="D300" s="5" t="n"/>
      <c r="E300" s="5" t="n"/>
      <c r="F300" s="5" t="n"/>
      <c r="G300" s="10" t="n"/>
      <c r="H300" s="10" t="n"/>
      <c r="I300" s="10" t="n"/>
      <c r="J300" s="10" t="n"/>
      <c r="K300" s="10" t="n"/>
      <c r="L300" s="10" t="n"/>
    </row>
    <row r="301">
      <c r="A301" s="5" t="n"/>
      <c r="B301" s="5" t="n"/>
      <c r="C301" s="5" t="n"/>
      <c r="D301" s="5" t="n"/>
      <c r="E301" s="5" t="n"/>
      <c r="F301" s="5" t="n"/>
      <c r="G301" s="10" t="n"/>
      <c r="H301" s="10" t="n"/>
      <c r="I301" s="10" t="n"/>
      <c r="J301" s="10" t="n"/>
      <c r="K301" s="10" t="n"/>
      <c r="L301" s="10" t="n"/>
    </row>
    <row r="302">
      <c r="A302" s="5" t="n"/>
      <c r="B302" s="5" t="n"/>
      <c r="C302" s="5" t="n"/>
      <c r="D302" s="5" t="n"/>
      <c r="E302" s="5" t="n"/>
      <c r="F302" s="5" t="n"/>
      <c r="G302" s="10" t="n"/>
      <c r="H302" s="10" t="n"/>
      <c r="I302" s="10" t="n"/>
      <c r="J302" s="10" t="n"/>
      <c r="K302" s="10" t="n"/>
      <c r="L302" s="10" t="n"/>
    </row>
    <row r="303">
      <c r="A303" s="5" t="n"/>
      <c r="B303" s="5" t="n"/>
      <c r="C303" s="5" t="n"/>
      <c r="D303" s="5" t="n"/>
      <c r="E303" s="5" t="n"/>
      <c r="F303" s="5" t="n"/>
      <c r="G303" s="10" t="n"/>
      <c r="H303" s="10" t="n"/>
      <c r="I303" s="10" t="n"/>
      <c r="J303" s="10" t="n"/>
      <c r="K303" s="10" t="n"/>
      <c r="L303" s="10" t="n"/>
    </row>
    <row r="304">
      <c r="A304" s="5" t="n"/>
      <c r="B304" s="5" t="n"/>
      <c r="C304" s="5" t="n"/>
      <c r="D304" s="5" t="n"/>
      <c r="E304" s="5" t="n"/>
      <c r="F304" s="5" t="n"/>
      <c r="G304" s="10" t="n"/>
      <c r="H304" s="10" t="n"/>
      <c r="I304" s="10" t="n"/>
      <c r="J304" s="10" t="n"/>
      <c r="K304" s="10" t="n"/>
      <c r="L304" s="10" t="n"/>
    </row>
    <row r="306">
      <c r="A306" s="11" t="inlineStr">
        <is>
          <t>집계</t>
        </is>
      </c>
    </row>
    <row r="307">
      <c r="A307" s="12" t="inlineStr">
        <is>
          <t>채택</t>
        </is>
      </c>
      <c r="B307" s="13">
        <f>COUNTIF(G5:G304,"채택")</f>
        <v>3</v>
      </c>
    </row>
    <row r="308">
      <c r="A308" s="12" t="inlineStr">
        <is>
          <t>수정 후 채택</t>
        </is>
      </c>
      <c r="B308" s="13">
        <f>COUNTIF(G5:G304,"수정 후 채택")</f>
        <v>0</v>
      </c>
    </row>
    <row r="309">
      <c r="A309" s="12" t="inlineStr">
        <is>
          <t>폐기</t>
        </is>
      </c>
      <c r="B309" s="13">
        <f>COUNTIF(G5:G304,"폐기")</f>
        <v>0</v>
      </c>
    </row>
    <row r="310">
      <c r="A310" s="12" t="inlineStr">
        <is>
          <t>검수 완료</t>
        </is>
      </c>
      <c r="B310" s="13">
        <f>COUNTIF(G5:G304,"&lt;&gt;")</f>
        <v>3</v>
      </c>
    </row>
    <row r="311">
      <c r="A311" s="12" t="inlineStr">
        <is>
          <t>채택률</t>
        </is>
      </c>
      <c r="B311" s="14">
        <f>IFERROR((COUNTIF(G5:G304,"채택")+COUNTIF(G5:G304,"수정 후 채택"))/COUNTIF(G5:G304,"&lt;&gt;"),0)</f>
        <v>1.0</v>
      </c>
    </row>
  </sheetData>
  <autoFilter ref="A4:L304"/>
  <mergeCells count="2">
    <mergeCell ref="A2:L2"/>
    <mergeCell ref="A1:L1"/>
  </mergeCells>
  <conditionalFormatting sqref="G5:G304">
    <cfRule type="cellIs" priority="1" operator="equal" dxfId="0">
      <formula>"채택"</formula>
    </cfRule>
    <cfRule type="cellIs" priority="2" operator="equal" dxfId="1">
      <formula>"수정 후 채택"</formula>
    </cfRule>
    <cfRule type="cellIs" priority="3" operator="equal" dxfId="2">
      <formula>"폐기"</formula>
    </cfRule>
  </conditionalFormatting>
  <dataValidations count="2">
    <dataValidation sqref="G5:G304" showDropDown="0" showInputMessage="0" showErrorMessage="0" allowBlank="1" type="list">
      <formula1>"채택,수정 후 채택,폐기"</formula1>
    </dataValidation>
    <dataValidation sqref="J5:J304" showDropDown="0" showInputMessage="0" showErrorMessage="0" allowBlank="1" type="list">
      <formula1>"질의 부적절(머리글 · 인용),정답 모호(복수 문서),중복 질문,업무 무관,기타"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3" customWidth="1" min="4" max="4"/>
    <col width="16" customWidth="1" min="5" max="5"/>
    <col width="40" customWidth="1" min="6" max="6"/>
    <col width="8" customWidth="1" min="7" max="7"/>
    <col width="12" customWidth="1" min="8" max="8"/>
    <col width="24" customWidth="1" min="9" max="9"/>
  </cols>
  <sheetData>
    <row r="1">
      <c r="A1" s="8" t="inlineStr">
        <is>
          <t>2. 골든셋 확정 (golden_v1.csv 와 동일 구조)</t>
        </is>
      </c>
    </row>
    <row r="2">
      <c r="A2" s="2" t="inlineStr">
        <is>
          <t>채택분 + 실제 업무 질문 · 이 시트를 CSV 로 저장 → rag_lab/golden/golden_v1.csv</t>
        </is>
      </c>
    </row>
    <row r="4">
      <c r="A4" s="3" t="inlineStr">
        <is>
          <t>qid</t>
        </is>
      </c>
      <c r="B4" s="3" t="inlineStr">
        <is>
          <t>question</t>
        </is>
      </c>
      <c r="C4" s="3" t="inlineStr">
        <is>
          <t>q_type</t>
        </is>
      </c>
      <c r="D4" s="3" t="inlineStr">
        <is>
          <t>source</t>
        </is>
      </c>
      <c r="E4" s="3" t="inlineStr">
        <is>
          <t>gold_doc_ids</t>
        </is>
      </c>
      <c r="F4" s="3" t="inlineStr">
        <is>
          <t>gold_text</t>
        </is>
      </c>
      <c r="G4" s="3" t="inlineStr">
        <is>
          <t>level</t>
        </is>
      </c>
      <c r="H4" s="3" t="inlineStr">
        <is>
          <t>origin</t>
        </is>
      </c>
      <c r="I4" s="3" t="inlineStr">
        <is>
          <t>memo</t>
        </is>
      </c>
    </row>
    <row r="5">
      <c r="A5" s="9" t="inlineStr">
        <is>
          <t>G01</t>
        </is>
      </c>
      <c r="B5" s="9" t="inlineStr">
        <is>
          <t>마이크론의 히로시마 HBM 증설 투자 규모는?</t>
        </is>
      </c>
      <c r="C5" s="9" t="inlineStr">
        <is>
          <t>사실</t>
        </is>
      </c>
      <c r="D5" s="9" t="inlineStr">
        <is>
          <t>NEWS</t>
        </is>
      </c>
      <c r="E5" s="9" t="inlineStr">
        <is>
          <t>N001;N002</t>
        </is>
      </c>
      <c r="F5" s="9" t="inlineStr">
        <is>
          <t>투자 규모는 약 5조원</t>
        </is>
      </c>
      <c r="G5" s="9" t="inlineStr">
        <is>
          <t>easy</t>
        </is>
      </c>
      <c r="H5" s="9" t="inlineStr">
        <is>
          <t>수동-업무질문</t>
        </is>
      </c>
      <c r="I5" s="9" t="inlineStr">
        <is>
          <t>예시 행</t>
        </is>
      </c>
    </row>
    <row r="6">
      <c r="A6" s="9" t="inlineStr">
        <is>
          <t>G02</t>
        </is>
      </c>
      <c r="B6" s="9" t="inlineStr">
        <is>
          <t>3분기 DRAM 계약가격 전망은?</t>
        </is>
      </c>
      <c r="C6" s="9" t="inlineStr">
        <is>
          <t>수치</t>
        </is>
      </c>
      <c r="D6" s="9" t="inlineStr">
        <is>
          <t>BROKER</t>
        </is>
      </c>
      <c r="E6" s="9" t="inlineStr">
        <is>
          <t>B001</t>
        </is>
      </c>
      <c r="F6" s="9" t="inlineStr">
        <is>
          <t>3분기 DRAM 계약가격은 전분기 대비 8% 상승</t>
        </is>
      </c>
      <c r="G6" s="9" t="inlineStr">
        <is>
          <t>easy</t>
        </is>
      </c>
      <c r="H6" s="9" t="inlineStr">
        <is>
          <t>수동-업무질문</t>
        </is>
      </c>
      <c r="I6" s="9" t="inlineStr">
        <is>
          <t>예시 행</t>
        </is>
      </c>
    </row>
    <row r="7">
      <c r="A7" s="9" t="inlineStr">
        <is>
          <t>G03</t>
        </is>
      </c>
      <c r="B7" s="9" t="inlineStr">
        <is>
          <t>2026년 HBM 시장 규모는 얼마로 전망되나?</t>
        </is>
      </c>
      <c r="C7" s="9" t="inlineStr">
        <is>
          <t>수치</t>
        </is>
      </c>
      <c r="D7" s="9" t="inlineStr">
        <is>
          <t>INSTITUTION</t>
        </is>
      </c>
      <c r="E7" s="9" t="inlineStr">
        <is>
          <t>I001</t>
        </is>
      </c>
      <c r="F7" s="9" t="inlineStr">
        <is>
          <t>HBM 시장 규모는 520억 달러</t>
        </is>
      </c>
      <c r="G7" s="9" t="inlineStr">
        <is>
          <t>easy</t>
        </is>
      </c>
      <c r="H7" s="9" t="inlineStr">
        <is>
          <t>수동-업무질문</t>
        </is>
      </c>
      <c r="I7" s="9" t="inlineStr">
        <is>
          <t>예시 행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</row>
    <row r="306">
      <c r="A306" s="11" t="inlineStr">
        <is>
          <t>배분 점검 — 권장 대비</t>
        </is>
      </c>
    </row>
    <row r="307">
      <c r="A307" s="15" t="inlineStr">
        <is>
          <t>유형</t>
        </is>
      </c>
      <c r="B307" s="15" t="inlineStr">
        <is>
          <t>권장</t>
        </is>
      </c>
      <c r="C307" s="15" t="inlineStr">
        <is>
          <t>현재 건수</t>
        </is>
      </c>
      <c r="D307" s="15" t="inlineStr">
        <is>
          <t>현재 비율</t>
        </is>
      </c>
    </row>
    <row r="308">
      <c r="A308" s="16" t="inlineStr">
        <is>
          <t>사실</t>
        </is>
      </c>
      <c r="B308" s="16" t="inlineStr">
        <is>
          <t>30%</t>
        </is>
      </c>
      <c r="C308" s="17">
        <f>COUNTIF(C5:C304,A308)</f>
        <v>1</v>
      </c>
      <c r="D308" s="18">
        <f>IFERROR(C308/COUNTIF(C5:C304,"&lt;&gt;"),0)</f>
        <v>0.3333333333333333</v>
      </c>
    </row>
    <row r="309">
      <c r="A309" s="16" t="inlineStr">
        <is>
          <t>수치</t>
        </is>
      </c>
      <c r="B309" s="16" t="inlineStr">
        <is>
          <t>25%</t>
        </is>
      </c>
      <c r="C309" s="17">
        <f>COUNTIF(C5:C304,A309)</f>
        <v>2</v>
      </c>
      <c r="D309" s="18">
        <f>IFERROR(C309/COUNTIF(C5:C304,"&lt;&gt;"),0)</f>
        <v>0.6666666666666666</v>
      </c>
    </row>
    <row r="310">
      <c r="A310" s="16" t="inlineStr">
        <is>
          <t>기간</t>
        </is>
      </c>
      <c r="B310" s="16" t="inlineStr">
        <is>
          <t>10%</t>
        </is>
      </c>
      <c r="C310" s="17">
        <f>COUNTIF(C5:C304,A310)</f>
        <v>0</v>
      </c>
      <c r="D310" s="18">
        <f>IFERROR(C310/COUNTIF(C5:C304,"&lt;&gt;"),0)</f>
        <v>0.0</v>
      </c>
    </row>
    <row r="311">
      <c r="A311" s="16" t="inlineStr">
        <is>
          <t>종합</t>
        </is>
      </c>
      <c r="B311" s="16" t="inlineStr">
        <is>
          <t>15%</t>
        </is>
      </c>
      <c r="C311" s="17">
        <f>COUNTIF(C5:C304,A311)</f>
        <v>0</v>
      </c>
      <c r="D311" s="18">
        <f>IFERROR(C311/COUNTIF(C5:C304,"&lt;&gt;"),0)</f>
        <v>0.0</v>
      </c>
    </row>
    <row r="312">
      <c r="A312" s="16" t="inlineStr">
        <is>
          <t>비교</t>
        </is>
      </c>
      <c r="B312" s="16" t="inlineStr">
        <is>
          <t>10%</t>
        </is>
      </c>
      <c r="C312" s="17">
        <f>COUNTIF(C5:C304,A312)</f>
        <v>0</v>
      </c>
      <c r="D312" s="18">
        <f>IFERROR(C312/COUNTIF(C5:C304,"&lt;&gt;"),0)</f>
        <v>0.0</v>
      </c>
    </row>
    <row r="313">
      <c r="A313" s="16" t="inlineStr">
        <is>
          <t>답없음</t>
        </is>
      </c>
      <c r="B313" s="16" t="inlineStr">
        <is>
          <t>10%</t>
        </is>
      </c>
      <c r="C313" s="17">
        <f>COUNTIF(C5:C304,A313)</f>
        <v>0</v>
      </c>
      <c r="D313" s="18">
        <f>IFERROR(C313/COUNTIF(C5:C304,"&lt;&gt;"),0)</f>
        <v>0.0</v>
      </c>
    </row>
  </sheetData>
  <autoFilter ref="A4:I304"/>
  <mergeCells count="2">
    <mergeCell ref="A1:I1"/>
    <mergeCell ref="A2:I2"/>
  </mergeCells>
  <dataValidations count="4">
    <dataValidation sqref="C5:C304" showDropDown="0" showInputMessage="0" showErrorMessage="0" allowBlank="1" type="list">
      <formula1>"사실,수치,기간,종합,비교,답없음"</formula1>
    </dataValidation>
    <dataValidation sqref="D5:D304" showDropDown="0" showInputMessage="0" showErrorMessage="0" allowBlank="1" type="list">
      <formula1>"NEWS,BROKER,INSTITUTION,EMAIL,MEETING,REPORT,EXEC_REPORT,-"</formula1>
    </dataValidation>
    <dataValidation sqref="G5:G304" showDropDown="0" showInputMessage="0" showErrorMessage="0" allowBlank="1" type="list">
      <formula1>"easy,mid,hard"</formula1>
    </dataValidation>
    <dataValidation sqref="H5:H304" showDropDown="0" showInputMessage="0" showErrorMessage="0" allowBlank="1" type="list">
      <formula1>"자동-known,자동-제목,자동-합성,수동-업무질문,스모크"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8" customWidth="1" min="3" max="3"/>
    <col width="8" customWidth="1" min="4" max="4"/>
    <col width="16" customWidth="1" min="5" max="5"/>
    <col width="44" customWidth="1" min="6" max="6"/>
    <col width="34" customWidth="1" min="7" max="7"/>
    <col width="28" customWidth="1" min="8" max="8"/>
    <col width="10" customWidth="1" min="9" max="9"/>
    <col width="10" customWidth="1" min="10" max="10"/>
    <col width="22" customWidth="1" min="11" max="11"/>
  </cols>
  <sheetData>
    <row r="1">
      <c r="A1" s="8" t="inlineStr">
        <is>
          <t>2b. 질의 · 답변 골든셋 — 사외 정보 기반 60문항</t>
        </is>
      </c>
    </row>
    <row r="2">
      <c r="A2" s="2" t="inlineStr">
        <is>
          <t>문서 ID 없이 필수 요소로 채점 → 사내 골든셋 확보 전에도 정량 평가 가능 · I~K 열 기입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유형</t>
        </is>
      </c>
      <c r="D4" s="3" t="inlineStr">
        <is>
          <t>난이도</t>
        </is>
      </c>
      <c r="E4" s="3" t="inlineStr">
        <is>
          <t>근거 소스</t>
        </is>
      </c>
      <c r="F4" s="3" t="inlineStr">
        <is>
          <t>필수 요소 (; 구분)</t>
        </is>
      </c>
      <c r="G4" s="3" t="inlineStr">
        <is>
          <t>채점 기준</t>
        </is>
      </c>
      <c r="H4" s="3" t="inlineStr">
        <is>
          <t>흔한 오답</t>
        </is>
      </c>
      <c r="I4" s="3" t="inlineStr">
        <is>
          <t>측정 점수</t>
        </is>
      </c>
      <c r="J4" s="3" t="inlineStr">
        <is>
          <t>평가자</t>
        </is>
      </c>
      <c r="K4" s="3" t="inlineStr">
        <is>
          <t>비고</t>
        </is>
      </c>
    </row>
    <row r="5">
      <c r="A5" s="19" t="inlineStr">
        <is>
          <t>A001</t>
        </is>
      </c>
      <c r="B5" s="5" t="inlineStr">
        <is>
          <t>마이크론이 최근 분기 실적 발표에서 밝힌 HBM 매출 관련 내용은?</t>
        </is>
      </c>
      <c r="C5" s="19" t="inlineStr">
        <is>
          <t>사실</t>
        </is>
      </c>
      <c r="D5" s="19" t="inlineStr">
        <is>
          <t>easy</t>
        </is>
      </c>
      <c r="E5" s="5" t="inlineStr">
        <is>
          <t>뉴스 · 증권사</t>
        </is>
      </c>
      <c r="F5" s="5" t="inlineStr">
        <is>
          <t>HBM 매출 또는 비중 수치;해당 분기 표기;출처 · 발표일</t>
        </is>
      </c>
      <c r="G5" s="5" t="inlineStr">
        <is>
          <t>수치 + 분기 + 출처 3요소 모두 제시 시 정답</t>
        </is>
      </c>
      <c r="H5" s="5" t="inlineStr">
        <is>
          <t>분기 미표기 · 과거 분기 혼용</t>
        </is>
      </c>
      <c r="I5" s="20" t="inlineStr"/>
      <c r="J5" s="10" t="inlineStr"/>
      <c r="K5" s="10" t="inlineStr"/>
    </row>
    <row r="6">
      <c r="A6" s="19" t="inlineStr">
        <is>
          <t>A002</t>
        </is>
      </c>
      <c r="B6" s="5" t="inlineStr">
        <is>
          <t>삼성전자 HBM4 양산 일정에 대한 최근 발표 내용은?</t>
        </is>
      </c>
      <c r="C6" s="19" t="inlineStr">
        <is>
          <t>사실</t>
        </is>
      </c>
      <c r="D6" s="19" t="inlineStr">
        <is>
          <t>easy</t>
        </is>
      </c>
      <c r="E6" s="5" t="inlineStr">
        <is>
          <t>뉴스</t>
        </is>
      </c>
      <c r="F6" s="5" t="inlineStr">
        <is>
          <t>양산 시점(연도 · 분기);발표 주체;발표 시점</t>
        </is>
      </c>
      <c r="G6" s="5" t="inlineStr">
        <is>
          <t>시점 + 주체 제시. 추측 표현 없이 인용</t>
        </is>
      </c>
      <c r="H6" s="5" t="inlineStr">
        <is>
          <t>루머와 공식 발표 혼동</t>
        </is>
      </c>
      <c r="I6" s="20" t="inlineStr"/>
      <c r="J6" s="10" t="inlineStr"/>
      <c r="K6" s="10" t="inlineStr"/>
    </row>
    <row r="7">
      <c r="A7" s="19" t="inlineStr">
        <is>
          <t>A003</t>
        </is>
      </c>
      <c r="B7" s="5" t="inlineStr">
        <is>
          <t>SK하이닉스 미국 인디애나 패키징 공장 계획의 투자 규모와 가동 목표 시점은?</t>
        </is>
      </c>
      <c r="C7" s="19" t="inlineStr">
        <is>
          <t>사실</t>
        </is>
      </c>
      <c r="D7" s="19" t="inlineStr">
        <is>
          <t>easy</t>
        </is>
      </c>
      <c r="E7" s="5" t="inlineStr">
        <is>
          <t>뉴스 · 기관</t>
        </is>
      </c>
      <c r="F7" s="5" t="inlineStr">
        <is>
          <t>투자 금액;가동 목표 시점;용도(HBM 패키징)</t>
        </is>
      </c>
      <c r="G7" s="5" t="inlineStr">
        <is>
          <t>금액 + 시점 제시</t>
        </is>
      </c>
      <c r="H7" s="5" t="inlineStr">
        <is>
          <t>착공과 가동 시점 혼동</t>
        </is>
      </c>
      <c r="I7" s="20" t="inlineStr"/>
      <c r="J7" s="10" t="inlineStr"/>
      <c r="K7" s="10" t="inlineStr"/>
    </row>
    <row r="8">
      <c r="A8" s="19" t="inlineStr">
        <is>
          <t>A004</t>
        </is>
      </c>
      <c r="B8" s="5" t="inlineStr">
        <is>
          <t>마이크론 일본 신공장에 대한 일본 정부 보조금 규모는?</t>
        </is>
      </c>
      <c r="C8" s="19" t="inlineStr">
        <is>
          <t>사실</t>
        </is>
      </c>
      <c r="D8" s="19" t="inlineStr">
        <is>
          <t>mid</t>
        </is>
      </c>
      <c r="E8" s="5" t="inlineStr">
        <is>
          <t>뉴스</t>
        </is>
      </c>
      <c r="F8" s="5" t="inlineStr">
        <is>
          <t>보조금 금액;대상 공장 · 지역;발표 시점</t>
        </is>
      </c>
      <c r="G8" s="5" t="inlineStr">
        <is>
          <t>금액 + 대상 명시</t>
        </is>
      </c>
      <c r="H8" s="5" t="inlineStr">
        <is>
          <t>총 투자액을 보조금으로 표기</t>
        </is>
      </c>
      <c r="I8" s="20" t="inlineStr"/>
      <c r="J8" s="10" t="inlineStr"/>
      <c r="K8" s="10" t="inlineStr"/>
    </row>
    <row r="9">
      <c r="A9" s="19" t="inlineStr">
        <is>
          <t>A005</t>
        </is>
      </c>
      <c r="B9" s="5" t="inlineStr">
        <is>
          <t>CXMT 의 DDR5 양산 확대 계획은?</t>
        </is>
      </c>
      <c r="C9" s="19" t="inlineStr">
        <is>
          <t>사실</t>
        </is>
      </c>
      <c r="D9" s="19" t="inlineStr">
        <is>
          <t>mid</t>
        </is>
      </c>
      <c r="E9" s="5" t="inlineStr">
        <is>
          <t>뉴스 · 기관</t>
        </is>
      </c>
      <c r="F9" s="5" t="inlineStr">
        <is>
          <t>양산 비중 또는 캐파 수치;시점;출처</t>
        </is>
      </c>
      <c r="G9" s="5" t="inlineStr">
        <is>
          <t>수치 + 시점 제시</t>
        </is>
      </c>
      <c r="H9" s="5" t="inlineStr">
        <is>
          <t>추정치를 확정치로 표기</t>
        </is>
      </c>
      <c r="I9" s="20" t="inlineStr"/>
      <c r="J9" s="10" t="inlineStr"/>
      <c r="K9" s="10" t="inlineStr"/>
    </row>
    <row r="10">
      <c r="A10" s="19" t="inlineStr">
        <is>
          <t>A006</t>
        </is>
      </c>
      <c r="B10" s="5" t="inlineStr">
        <is>
          <t>YMTC 가 공개한 최신 3D NAND 적층 수는?</t>
        </is>
      </c>
      <c r="C10" s="19" t="inlineStr">
        <is>
          <t>사실</t>
        </is>
      </c>
      <c r="D10" s="19" t="inlineStr">
        <is>
          <t>mid</t>
        </is>
      </c>
      <c r="E10" s="5" t="inlineStr">
        <is>
          <t>뉴스 · 기관</t>
        </is>
      </c>
      <c r="F10" s="5" t="inlineStr">
        <is>
          <t>적층 수;제품 · 세대 명칭;발표 시점</t>
        </is>
      </c>
      <c r="G10" s="5" t="inlineStr">
        <is>
          <t>적층 수 + 세대 제시</t>
        </is>
      </c>
      <c r="H10" s="5" t="inlineStr">
        <is>
          <t>경쟁사 수치와 혼동</t>
        </is>
      </c>
      <c r="I10" s="20" t="inlineStr"/>
      <c r="J10" s="10" t="inlineStr"/>
      <c r="K10" s="10" t="inlineStr"/>
    </row>
    <row r="11">
      <c r="A11" s="19" t="inlineStr">
        <is>
          <t>A007</t>
        </is>
      </c>
      <c r="B11" s="5" t="inlineStr">
        <is>
          <t>미국의 대중 반도체 장비 수출 규제 최근 변경 내용은?</t>
        </is>
      </c>
      <c r="C11" s="19" t="inlineStr">
        <is>
          <t>사실</t>
        </is>
      </c>
      <c r="D11" s="19" t="inlineStr">
        <is>
          <t>mid</t>
        </is>
      </c>
      <c r="E11" s="5" t="inlineStr">
        <is>
          <t>뉴스 · 기관</t>
        </is>
      </c>
      <c r="F11" s="5" t="inlineStr">
        <is>
          <t>변경 항목(품목 · 대상 · 기준);시행 시점;근거 기관</t>
        </is>
      </c>
      <c r="G11" s="5" t="inlineStr">
        <is>
          <t>변경 내용 + 시점. 규제 버전 구분</t>
        </is>
      </c>
      <c r="H11" s="5" t="inlineStr">
        <is>
          <t>과거 규제와 최신 개정 혼동</t>
        </is>
      </c>
      <c r="I11" s="20" t="inlineStr"/>
      <c r="J11" s="10" t="inlineStr"/>
      <c r="K11" s="10" t="inlineStr"/>
    </row>
    <row r="12">
      <c r="A12" s="19" t="inlineStr">
        <is>
          <t>A008</t>
        </is>
      </c>
      <c r="B12" s="5" t="inlineStr">
        <is>
          <t>중국의 갈륨 · 희토류 수출 통제가 반도체 공급망에 주는 영향은?</t>
        </is>
      </c>
      <c r="C12" s="19" t="inlineStr">
        <is>
          <t>사실</t>
        </is>
      </c>
      <c r="D12" s="19" t="inlineStr">
        <is>
          <t>mid</t>
        </is>
      </c>
      <c r="E12" s="5" t="inlineStr">
        <is>
          <t>뉴스 · 기관</t>
        </is>
      </c>
      <c r="F12" s="5" t="inlineStr">
        <is>
          <t>통제 품목;영향 받는 공정 · 소재;완화 · 대체 가능성</t>
        </is>
      </c>
      <c r="G12" s="5" t="inlineStr">
        <is>
          <t>품목 + 영향 경로 제시</t>
        </is>
      </c>
      <c r="H12" s="5" t="inlineStr">
        <is>
          <t>영향 범위 과장</t>
        </is>
      </c>
      <c r="I12" s="20" t="inlineStr"/>
      <c r="J12" s="10" t="inlineStr"/>
      <c r="K12" s="10" t="inlineStr"/>
    </row>
    <row r="13">
      <c r="A13" s="19" t="inlineStr">
        <is>
          <t>A009</t>
        </is>
      </c>
      <c r="B13" s="5" t="inlineStr">
        <is>
          <t>엔비디아 최신 GPU 아키텍처의 HBM 탑재 용량 · 세대는?</t>
        </is>
      </c>
      <c r="C13" s="19" t="inlineStr">
        <is>
          <t>사실</t>
        </is>
      </c>
      <c r="D13" s="19" t="inlineStr">
        <is>
          <t>easy</t>
        </is>
      </c>
      <c r="E13" s="5" t="inlineStr">
        <is>
          <t>뉴스</t>
        </is>
      </c>
      <c r="F13" s="5" t="inlineStr">
        <is>
          <t>HBM 세대(HBM3E · HBM4);탑재 용량;제품명</t>
        </is>
      </c>
      <c r="G13" s="5" t="inlineStr">
        <is>
          <t>세대 + 용량 + 제품명</t>
        </is>
      </c>
      <c r="H13" s="5" t="inlineStr">
        <is>
          <t>이전 세대 제품 정보 혼용</t>
        </is>
      </c>
      <c r="I13" s="20" t="inlineStr"/>
      <c r="J13" s="10" t="inlineStr"/>
      <c r="K13" s="10" t="inlineStr"/>
    </row>
    <row r="14">
      <c r="A14" s="19" t="inlineStr">
        <is>
          <t>A010</t>
        </is>
      </c>
      <c r="B14" s="5" t="inlineStr">
        <is>
          <t>주요 하이퍼스케일러의 최근 분기 CapEx 가이던스는?</t>
        </is>
      </c>
      <c r="C14" s="19" t="inlineStr">
        <is>
          <t>사실</t>
        </is>
      </c>
      <c r="D14" s="19" t="inlineStr">
        <is>
          <t>mid</t>
        </is>
      </c>
      <c r="E14" s="5" t="inlineStr">
        <is>
          <t>뉴스 · 증권사</t>
        </is>
      </c>
      <c r="F14" s="5" t="inlineStr">
        <is>
          <t>업체별 금액 또는 증감률;해당 분기 · 연도;출처</t>
        </is>
      </c>
      <c r="G14" s="5" t="inlineStr">
        <is>
          <t>2개사 이상 + 기간 제시</t>
        </is>
      </c>
      <c r="H14" s="5" t="inlineStr">
        <is>
          <t>연간과 분기 수치 혼동</t>
        </is>
      </c>
      <c r="I14" s="20" t="inlineStr"/>
      <c r="J14" s="10" t="inlineStr"/>
      <c r="K14" s="10" t="inlineStr"/>
    </row>
    <row r="15">
      <c r="A15" s="19" t="inlineStr">
        <is>
          <t>A011</t>
        </is>
      </c>
      <c r="B15" s="5" t="inlineStr">
        <is>
          <t>최신 아이폰의 DRAM 탑재량 변화는?</t>
        </is>
      </c>
      <c r="C15" s="19" t="inlineStr">
        <is>
          <t>사실</t>
        </is>
      </c>
      <c r="D15" s="19" t="inlineStr">
        <is>
          <t>mid</t>
        </is>
      </c>
      <c r="E15" s="5" t="inlineStr">
        <is>
          <t>뉴스 · 기관</t>
        </is>
      </c>
      <c r="F15" s="5" t="inlineStr">
        <is>
          <t>탑재량(GB);모델;전작 대비 변화</t>
        </is>
      </c>
      <c r="G15" s="5" t="inlineStr">
        <is>
          <t>용량 + 모델 제시</t>
        </is>
      </c>
      <c r="H15" s="5" t="inlineStr">
        <is>
          <t>모델별 차이 무시</t>
        </is>
      </c>
      <c r="I15" s="20" t="inlineStr"/>
      <c r="J15" s="10" t="inlineStr"/>
      <c r="K15" s="10" t="inlineStr"/>
    </row>
    <row r="16">
      <c r="A16" s="19" t="inlineStr">
        <is>
          <t>A012</t>
        </is>
      </c>
      <c r="B16" s="5" t="inlineStr">
        <is>
          <t>DDR4 단종(EOL) 관련 공급사 발표 내용은?</t>
        </is>
      </c>
      <c r="C16" s="19" t="inlineStr">
        <is>
          <t>사실</t>
        </is>
      </c>
      <c r="D16" s="19" t="inlineStr">
        <is>
          <t>mid</t>
        </is>
      </c>
      <c r="E16" s="5" t="inlineStr">
        <is>
          <t>뉴스</t>
        </is>
      </c>
      <c r="F16" s="5" t="inlineStr">
        <is>
          <t>단종 시점 · 계획;해당 공급사;대상 제품군</t>
        </is>
      </c>
      <c r="G16" s="5" t="inlineStr">
        <is>
          <t>시점 + 공급사 제시</t>
        </is>
      </c>
      <c r="H16" s="5" t="inlineStr">
        <is>
          <t>전 공급사 일괄 단종으로 서술</t>
        </is>
      </c>
      <c r="I16" s="20" t="inlineStr"/>
      <c r="J16" s="10" t="inlineStr"/>
      <c r="K16" s="10" t="inlineStr"/>
    </row>
    <row r="17">
      <c r="A17" s="19" t="inlineStr">
        <is>
          <t>A013</t>
        </is>
      </c>
      <c r="B17" s="5" t="inlineStr">
        <is>
          <t>CXL 메모리 상용화 관련 최근 표준 · 제품 발표는?</t>
        </is>
      </c>
      <c r="C17" s="19" t="inlineStr">
        <is>
          <t>사실</t>
        </is>
      </c>
      <c r="D17" s="19" t="inlineStr">
        <is>
          <t>hard</t>
        </is>
      </c>
      <c r="E17" s="5" t="inlineStr">
        <is>
          <t>뉴스 · 기관</t>
        </is>
      </c>
      <c r="F17" s="5" t="inlineStr">
        <is>
          <t>CXL 버전;제품 또는 검증 사례;발표 주체</t>
        </is>
      </c>
      <c r="G17" s="5" t="inlineStr">
        <is>
          <t>버전 + 사례 제시</t>
        </is>
      </c>
      <c r="H17" s="5" t="inlineStr">
        <is>
          <t>표준 버전 혼동</t>
        </is>
      </c>
      <c r="I17" s="20" t="inlineStr"/>
      <c r="J17" s="10" t="inlineStr"/>
      <c r="K17" s="10" t="inlineStr"/>
    </row>
    <row r="18">
      <c r="A18" s="19" t="inlineStr">
        <is>
          <t>A014</t>
        </is>
      </c>
      <c r="B18" s="5" t="inlineStr">
        <is>
          <t>LPDDR6 표준 제정 현황은?</t>
        </is>
      </c>
      <c r="C18" s="19" t="inlineStr">
        <is>
          <t>사실</t>
        </is>
      </c>
      <c r="D18" s="19" t="inlineStr">
        <is>
          <t>hard</t>
        </is>
      </c>
      <c r="E18" s="5" t="inlineStr">
        <is>
          <t>기관 · 뉴스</t>
        </is>
      </c>
      <c r="F18" s="5" t="inlineStr">
        <is>
          <t>표준화 단계(JEDEC);주요 사양 변화;예상 적용 시점</t>
        </is>
      </c>
      <c r="G18" s="5" t="inlineStr">
        <is>
          <t>단계 + 사양 제시</t>
        </is>
      </c>
      <c r="H18" s="5" t="inlineStr">
        <is>
          <t>확정 전 사양을 확정으로 서술</t>
        </is>
      </c>
      <c r="I18" s="20" t="inlineStr"/>
      <c r="J18" s="10" t="inlineStr"/>
      <c r="K18" s="10" t="inlineStr"/>
    </row>
    <row r="19">
      <c r="A19" s="19" t="inlineStr">
        <is>
          <t>A015</t>
        </is>
      </c>
      <c r="B19" s="5" t="inlineStr">
        <is>
          <t>샌디스크 분사 이후 NAND 사업 구조 변화는?</t>
        </is>
      </c>
      <c r="C19" s="19" t="inlineStr">
        <is>
          <t>사실</t>
        </is>
      </c>
      <c r="D19" s="19" t="inlineStr">
        <is>
          <t>mid</t>
        </is>
      </c>
      <c r="E19" s="5" t="inlineStr">
        <is>
          <t>뉴스 · 증권사</t>
        </is>
      </c>
      <c r="F19" s="5" t="inlineStr">
        <is>
          <t>분사 구조;합작 관계(키옥시아);시점</t>
        </is>
      </c>
      <c r="G19" s="5" t="inlineStr">
        <is>
          <t>구조 + 관계 제시</t>
        </is>
      </c>
      <c r="H19" s="5" t="inlineStr">
        <is>
          <t>분사 전후 사업 범위 혼동</t>
        </is>
      </c>
      <c r="I19" s="20" t="inlineStr"/>
      <c r="J19" s="10" t="inlineStr"/>
      <c r="K19" s="10" t="inlineStr"/>
    </row>
    <row r="20">
      <c r="A20" s="19" t="inlineStr">
        <is>
          <t>A016</t>
        </is>
      </c>
      <c r="B20" s="5" t="inlineStr">
        <is>
          <t>키옥시아의 최근 증설 · 상장 관련 소식은?</t>
        </is>
      </c>
      <c r="C20" s="19" t="inlineStr">
        <is>
          <t>사실</t>
        </is>
      </c>
      <c r="D20" s="19" t="inlineStr">
        <is>
          <t>mid</t>
        </is>
      </c>
      <c r="E20" s="5" t="inlineStr">
        <is>
          <t>뉴스</t>
        </is>
      </c>
      <c r="F20" s="5" t="inlineStr">
        <is>
          <t>증설 또는 상장 내용;시점;규모</t>
        </is>
      </c>
      <c r="G20" s="5" t="inlineStr">
        <is>
          <t>내용 + 시점 제시</t>
        </is>
      </c>
      <c r="H20" s="5" t="inlineStr">
        <is>
          <t>계획과 확정 혼동</t>
        </is>
      </c>
      <c r="I20" s="20" t="inlineStr"/>
      <c r="J20" s="10" t="inlineStr"/>
      <c r="K20" s="10" t="inlineStr"/>
    </row>
    <row r="21">
      <c r="A21" s="19" t="inlineStr">
        <is>
          <t>A017</t>
        </is>
      </c>
      <c r="B21" s="5" t="inlineStr">
        <is>
          <t>TSMC CoWoS 증설 계획과 HBM 수요의 연결 관계는?</t>
        </is>
      </c>
      <c r="C21" s="19" t="inlineStr">
        <is>
          <t>사실</t>
        </is>
      </c>
      <c r="D21" s="19" t="inlineStr">
        <is>
          <t>hard</t>
        </is>
      </c>
      <c r="E21" s="5" t="inlineStr">
        <is>
          <t>증권사 · 기관</t>
        </is>
      </c>
      <c r="F21" s="5" t="inlineStr">
        <is>
          <t>CoWoS 캐파 계획;HBM 수요와의 연결 논리;출처</t>
        </is>
      </c>
      <c r="G21" s="5" t="inlineStr">
        <is>
          <t>캐파 + 연결 논리 제시</t>
        </is>
      </c>
      <c r="H21" s="5" t="inlineStr">
        <is>
          <t>인과 과장</t>
        </is>
      </c>
      <c r="I21" s="20" t="inlineStr"/>
      <c r="J21" s="10" t="inlineStr"/>
      <c r="K21" s="10" t="inlineStr"/>
    </row>
    <row r="22">
      <c r="A22" s="19" t="inlineStr">
        <is>
          <t>A018</t>
        </is>
      </c>
      <c r="B22" s="5" t="inlineStr">
        <is>
          <t>데이터센터 전력 제약이 서버 출하에 주는 영향은?</t>
        </is>
      </c>
      <c r="C22" s="19" t="inlineStr">
        <is>
          <t>사실</t>
        </is>
      </c>
      <c r="D22" s="19" t="inlineStr">
        <is>
          <t>hard</t>
        </is>
      </c>
      <c r="E22" s="5" t="inlineStr">
        <is>
          <t>기관 · 뉴스</t>
        </is>
      </c>
      <c r="F22" s="5" t="inlineStr">
        <is>
          <t>전력 제약 사례 · 지역;서버 출하 영향 경로;시점</t>
        </is>
      </c>
      <c r="G22" s="5" t="inlineStr">
        <is>
          <t>사례 + 영향 경로 제시</t>
        </is>
      </c>
      <c r="H22" s="5" t="inlineStr">
        <is>
          <t>근거 없는 일반화</t>
        </is>
      </c>
      <c r="I22" s="20" t="inlineStr"/>
      <c r="J22" s="10" t="inlineStr"/>
      <c r="K22" s="10" t="inlineStr"/>
    </row>
    <row r="23">
      <c r="A23" s="19" t="inlineStr">
        <is>
          <t>A019</t>
        </is>
      </c>
      <c r="B23" s="5" t="inlineStr">
        <is>
          <t>최근 분기 DRAM 시장 규모와 전분기 대비 증감률은?</t>
        </is>
      </c>
      <c r="C23" s="19" t="inlineStr">
        <is>
          <t>수치</t>
        </is>
      </c>
      <c r="D23" s="19" t="inlineStr">
        <is>
          <t>easy</t>
        </is>
      </c>
      <c r="E23" s="5" t="inlineStr">
        <is>
          <t>기관 · 증권사</t>
        </is>
      </c>
      <c r="F23" s="5" t="inlineStr">
        <is>
          <t>시장 규모 금액;증감률(%);기준 분기 · 출처 기관</t>
        </is>
      </c>
      <c r="G23" s="5" t="inlineStr">
        <is>
          <t>금액 + 증감률 + 기준 분기</t>
        </is>
      </c>
      <c r="H23" s="5" t="inlineStr">
        <is>
          <t>연간 · 분기 단위 혼동</t>
        </is>
      </c>
      <c r="I23" s="20" t="inlineStr"/>
      <c r="J23" s="10" t="inlineStr"/>
      <c r="K23" s="10" t="inlineStr"/>
    </row>
    <row r="24">
      <c r="A24" s="19" t="inlineStr">
        <is>
          <t>A020</t>
        </is>
      </c>
      <c r="B24" s="5" t="inlineStr">
        <is>
          <t>최근 DRAM 고정거래가격(DDR5 16Gb 기준)은?</t>
        </is>
      </c>
      <c r="C24" s="19" t="inlineStr">
        <is>
          <t>수치</t>
        </is>
      </c>
      <c r="D24" s="19" t="inlineStr">
        <is>
          <t>easy</t>
        </is>
      </c>
      <c r="E24" s="5" t="inlineStr">
        <is>
          <t>기관</t>
        </is>
      </c>
      <c r="F24" s="5" t="inlineStr">
        <is>
          <t>가격(USD);기준 제품 규격;기준 월 · 출처</t>
        </is>
      </c>
      <c r="G24" s="5" t="inlineStr">
        <is>
          <t>가격 + 규격 + 시점</t>
        </is>
      </c>
      <c r="H24" s="5" t="inlineStr">
        <is>
          <t>현물가와 고정가 혼동</t>
        </is>
      </c>
      <c r="I24" s="20" t="inlineStr"/>
      <c r="J24" s="10" t="inlineStr"/>
      <c r="K24" s="10" t="inlineStr"/>
    </row>
    <row r="25">
      <c r="A25" s="19" t="inlineStr">
        <is>
          <t>A021</t>
        </is>
      </c>
      <c r="B25" s="5" t="inlineStr">
        <is>
          <t>최근 NAND 고정거래가격(128Gb TLC 기준)은?</t>
        </is>
      </c>
      <c r="C25" s="19" t="inlineStr">
        <is>
          <t>수치</t>
        </is>
      </c>
      <c r="D25" s="19" t="inlineStr">
        <is>
          <t>easy</t>
        </is>
      </c>
      <c r="E25" s="5" t="inlineStr">
        <is>
          <t>기관</t>
        </is>
      </c>
      <c r="F25" s="5" t="inlineStr">
        <is>
          <t>가격(USD);기준 규격;기준 월 · 출처</t>
        </is>
      </c>
      <c r="G25" s="5" t="inlineStr">
        <is>
          <t>가격 + 규격 + 시점</t>
        </is>
      </c>
      <c r="H25" s="5" t="inlineStr">
        <is>
          <t>완제품 가격과 혼동</t>
        </is>
      </c>
      <c r="I25" s="20" t="inlineStr"/>
      <c r="J25" s="10" t="inlineStr"/>
      <c r="K25" s="10" t="inlineStr"/>
    </row>
    <row r="26">
      <c r="A26" s="19" t="inlineStr">
        <is>
          <t>A022</t>
        </is>
      </c>
      <c r="B26" s="5" t="inlineStr">
        <is>
          <t>2026년 HBM 시장 규모 전망치는?</t>
        </is>
      </c>
      <c r="C26" s="19" t="inlineStr">
        <is>
          <t>수치</t>
        </is>
      </c>
      <c r="D26" s="19" t="inlineStr">
        <is>
          <t>easy</t>
        </is>
      </c>
      <c r="E26" s="5" t="inlineStr">
        <is>
          <t>기관 · 증권사</t>
        </is>
      </c>
      <c r="F26" s="5" t="inlineStr">
        <is>
          <t>전망 금액;성장률;전망 기관 · 발표 시점</t>
        </is>
      </c>
      <c r="G26" s="5" t="inlineStr">
        <is>
          <t>금액 + 기관 제시. 전망치임을 명시</t>
        </is>
      </c>
      <c r="H26" s="5" t="inlineStr">
        <is>
          <t>전망을 실적으로 서술</t>
        </is>
      </c>
      <c r="I26" s="20" t="inlineStr"/>
      <c r="J26" s="10" t="inlineStr"/>
      <c r="K26" s="10" t="inlineStr"/>
    </row>
    <row r="27">
      <c r="A27" s="19" t="inlineStr">
        <is>
          <t>A023</t>
        </is>
      </c>
      <c r="B27" s="5" t="inlineStr">
        <is>
          <t>2026년 글로벌 서버 출하량 전망 증감률은?</t>
        </is>
      </c>
      <c r="C27" s="19" t="inlineStr">
        <is>
          <t>수치</t>
        </is>
      </c>
      <c r="D27" s="19" t="inlineStr">
        <is>
          <t>mid</t>
        </is>
      </c>
      <c r="E27" s="5" t="inlineStr">
        <is>
          <t>기관</t>
        </is>
      </c>
      <c r="F27" s="5" t="inlineStr">
        <is>
          <t>증감률(%);대수 또는 기준;전망 기관</t>
        </is>
      </c>
      <c r="G27" s="5" t="inlineStr">
        <is>
          <t>증감률 + 기관 제시</t>
        </is>
      </c>
      <c r="H27" s="5" t="inlineStr">
        <is>
          <t>AI 서버와 전체 서버 혼동</t>
        </is>
      </c>
      <c r="I27" s="20" t="inlineStr"/>
      <c r="J27" s="10" t="inlineStr"/>
      <c r="K27" s="10" t="inlineStr"/>
    </row>
    <row r="28">
      <c r="A28" s="19" t="inlineStr">
        <is>
          <t>A024</t>
        </is>
      </c>
      <c r="B28" s="5" t="inlineStr">
        <is>
          <t>최근 분기 SK하이닉스 영업이익률은?</t>
        </is>
      </c>
      <c r="C28" s="19" t="inlineStr">
        <is>
          <t>수치</t>
        </is>
      </c>
      <c r="D28" s="19" t="inlineStr">
        <is>
          <t>easy</t>
        </is>
      </c>
      <c r="E28" s="5" t="inlineStr">
        <is>
          <t>뉴스 · 증권사</t>
        </is>
      </c>
      <c r="F28" s="5" t="inlineStr">
        <is>
          <t>영업이익률(%);해당 분기;산출 근거(매출 · 영업이익)</t>
        </is>
      </c>
      <c r="G28" s="5" t="inlineStr">
        <is>
          <t>비율 + 분기 제시</t>
        </is>
      </c>
      <c r="H28" s="5" t="inlineStr">
        <is>
          <t>연간 누계와 혼동</t>
        </is>
      </c>
      <c r="I28" s="20" t="inlineStr"/>
      <c r="J28" s="10" t="inlineStr"/>
      <c r="K28" s="10" t="inlineStr"/>
    </row>
    <row r="29">
      <c r="A29" s="19" t="inlineStr">
        <is>
          <t>A025</t>
        </is>
      </c>
      <c r="B29" s="5" t="inlineStr">
        <is>
          <t>최근 분기 마이크론 DRAM ASP 변동률은?</t>
        </is>
      </c>
      <c r="C29" s="19" t="inlineStr">
        <is>
          <t>수치</t>
        </is>
      </c>
      <c r="D29" s="19" t="inlineStr">
        <is>
          <t>mid</t>
        </is>
      </c>
      <c r="E29" s="5" t="inlineStr">
        <is>
          <t>증권사</t>
        </is>
      </c>
      <c r="F29" s="5" t="inlineStr">
        <is>
          <t>ASP 변동률;해당 분기;비교 기준(QoQ · YoY)</t>
        </is>
      </c>
      <c r="G29" s="5" t="inlineStr">
        <is>
          <t>변동률 + 비교 기준 명시</t>
        </is>
      </c>
      <c r="H29" s="5" t="inlineStr">
        <is>
          <t>QoQ · YoY 혼동</t>
        </is>
      </c>
      <c r="I29" s="20" t="inlineStr"/>
      <c r="J29" s="10" t="inlineStr"/>
      <c r="K29" s="10" t="inlineStr"/>
    </row>
    <row r="30">
      <c r="A30" s="19" t="inlineStr">
        <is>
          <t>A026</t>
        </is>
      </c>
      <c r="B30" s="5" t="inlineStr">
        <is>
          <t>2026년 DRAM 비트그로스 전망치는?</t>
        </is>
      </c>
      <c r="C30" s="19" t="inlineStr">
        <is>
          <t>수치</t>
        </is>
      </c>
      <c r="D30" s="19" t="inlineStr">
        <is>
          <t>mid</t>
        </is>
      </c>
      <c r="E30" s="5" t="inlineStr">
        <is>
          <t>기관 · 증권사</t>
        </is>
      </c>
      <c r="F30" s="5" t="inlineStr">
        <is>
          <t>비트그로스(%);공급 · 수요 구분;전망 기관</t>
        </is>
      </c>
      <c r="G30" s="5" t="inlineStr">
        <is>
          <t>수치 + 공급/수요 구분</t>
        </is>
      </c>
      <c r="H30" s="5" t="inlineStr">
        <is>
          <t>공급과 수요 비트그로스 혼동</t>
        </is>
      </c>
      <c r="I30" s="20" t="inlineStr"/>
      <c r="J30" s="10" t="inlineStr"/>
      <c r="K30" s="10" t="inlineStr"/>
    </row>
    <row r="31">
      <c r="A31" s="19" t="inlineStr">
        <is>
          <t>A027</t>
        </is>
      </c>
      <c r="B31" s="5" t="inlineStr">
        <is>
          <t>2026년 NAND 비트그로스 전망치는?</t>
        </is>
      </c>
      <c r="C31" s="19" t="inlineStr">
        <is>
          <t>수치</t>
        </is>
      </c>
      <c r="D31" s="19" t="inlineStr">
        <is>
          <t>mid</t>
        </is>
      </c>
      <c r="E31" s="5" t="inlineStr">
        <is>
          <t>기관 · 증권사</t>
        </is>
      </c>
      <c r="F31" s="5" t="inlineStr">
        <is>
          <t>비트그로스(%);공급 · 수요 구분;전망 기관</t>
        </is>
      </c>
      <c r="G31" s="5" t="inlineStr">
        <is>
          <t>수치 + 구분 제시</t>
        </is>
      </c>
      <c r="H31" s="5" t="inlineStr">
        <is>
          <t>동일</t>
        </is>
      </c>
      <c r="I31" s="20" t="inlineStr"/>
      <c r="J31" s="10" t="inlineStr"/>
      <c r="K31" s="10" t="inlineStr"/>
    </row>
    <row r="32">
      <c r="A32" s="19" t="inlineStr">
        <is>
          <t>A028</t>
        </is>
      </c>
      <c r="B32" s="5" t="inlineStr">
        <is>
          <t>최근 분기 DRAM 3사 점유율은?</t>
        </is>
      </c>
      <c r="C32" s="19" t="inlineStr">
        <is>
          <t>수치</t>
        </is>
      </c>
      <c r="D32" s="19" t="inlineStr">
        <is>
          <t>mid</t>
        </is>
      </c>
      <c r="E32" s="5" t="inlineStr">
        <is>
          <t>기관</t>
        </is>
      </c>
      <c r="F32" s="5" t="inlineStr">
        <is>
          <t>업체별 점유율(%);기준 분기;출처 기관</t>
        </is>
      </c>
      <c r="G32" s="5" t="inlineStr">
        <is>
          <t>3사 모두 + 기준 분기</t>
        </is>
      </c>
      <c r="H32" s="5" t="inlineStr">
        <is>
          <t>매출 기준과 비트 기준 혼동</t>
        </is>
      </c>
      <c r="I32" s="20" t="inlineStr"/>
      <c r="J32" s="10" t="inlineStr"/>
      <c r="K32" s="10" t="inlineStr"/>
    </row>
    <row r="33">
      <c r="A33" s="19" t="inlineStr">
        <is>
          <t>A029</t>
        </is>
      </c>
      <c r="B33" s="5" t="inlineStr">
        <is>
          <t>HBM3E 12단의 범용 DRAM 대비 가격 프리미엄 수준은?</t>
        </is>
      </c>
      <c r="C33" s="19" t="inlineStr">
        <is>
          <t>수치</t>
        </is>
      </c>
      <c r="D33" s="19" t="inlineStr">
        <is>
          <t>hard</t>
        </is>
      </c>
      <c r="E33" s="5" t="inlineStr">
        <is>
          <t>증권사</t>
        </is>
      </c>
      <c r="F33" s="5" t="inlineStr">
        <is>
          <t>프리미엄 배수 또는 %;비교 기준 제품;추정임을 명시</t>
        </is>
      </c>
      <c r="G33" s="5" t="inlineStr">
        <is>
          <t>배수 + 기준 + 추정 표기</t>
        </is>
      </c>
      <c r="H33" s="5" t="inlineStr">
        <is>
          <t>추정치를 확정 단가로 제시</t>
        </is>
      </c>
      <c r="I33" s="20" t="inlineStr"/>
      <c r="J33" s="10" t="inlineStr"/>
      <c r="K33" s="10" t="inlineStr"/>
    </row>
    <row r="34">
      <c r="A34" s="19" t="inlineStr">
        <is>
          <t>A030</t>
        </is>
      </c>
      <c r="B34" s="5" t="inlineStr">
        <is>
          <t>2026년 AI 서버 출하 대수 전망은?</t>
        </is>
      </c>
      <c r="C34" s="19" t="inlineStr">
        <is>
          <t>수치</t>
        </is>
      </c>
      <c r="D34" s="19" t="inlineStr">
        <is>
          <t>mid</t>
        </is>
      </c>
      <c r="E34" s="5" t="inlineStr">
        <is>
          <t>기관 · 증권사</t>
        </is>
      </c>
      <c r="F34" s="5" t="inlineStr">
        <is>
          <t>대수 또는 증감률;AI 서버 정의 범위;전망 기관</t>
        </is>
      </c>
      <c r="G34" s="5" t="inlineStr">
        <is>
          <t>수치 + 정의 범위</t>
        </is>
      </c>
      <c r="H34" s="5" t="inlineStr">
        <is>
          <t>정의 불명확한 수치 인용</t>
        </is>
      </c>
      <c r="I34" s="20" t="inlineStr"/>
      <c r="J34" s="10" t="inlineStr"/>
      <c r="K34" s="10" t="inlineStr"/>
    </row>
    <row r="35">
      <c r="A35" s="19" t="inlineStr">
        <is>
          <t>A031</t>
        </is>
      </c>
      <c r="B35" s="5" t="inlineStr">
        <is>
          <t>최근 분기 PC · 스마트폰 출하량 증감률은?</t>
        </is>
      </c>
      <c r="C35" s="19" t="inlineStr">
        <is>
          <t>수치</t>
        </is>
      </c>
      <c r="D35" s="19" t="inlineStr">
        <is>
          <t>mid</t>
        </is>
      </c>
      <c r="E35" s="5" t="inlineStr">
        <is>
          <t>기관</t>
        </is>
      </c>
      <c r="F35" s="5" t="inlineStr">
        <is>
          <t>PC 증감률;스마트폰 증감률;기준 분기 · 기관</t>
        </is>
      </c>
      <c r="G35" s="5" t="inlineStr">
        <is>
          <t>두 품목 + 기준 분기</t>
        </is>
      </c>
      <c r="H35" s="5" t="inlineStr">
        <is>
          <t>연간 전망과 분기 실적 혼동</t>
        </is>
      </c>
      <c r="I35" s="20" t="inlineStr"/>
      <c r="J35" s="10" t="inlineStr"/>
      <c r="K35" s="10" t="inlineStr"/>
    </row>
    <row r="36">
      <c r="A36" s="19" t="inlineStr">
        <is>
          <t>A032</t>
        </is>
      </c>
      <c r="B36" s="5" t="inlineStr">
        <is>
          <t>2026년 eSSD(QLC 포함) 수요 전망은?</t>
        </is>
      </c>
      <c r="C36" s="19" t="inlineStr">
        <is>
          <t>수치</t>
        </is>
      </c>
      <c r="D36" s="19" t="inlineStr">
        <is>
          <t>hard</t>
        </is>
      </c>
      <c r="E36" s="5" t="inlineStr">
        <is>
          <t>기관 · 증권사</t>
        </is>
      </c>
      <c r="F36" s="5" t="inlineStr">
        <is>
          <t>수요 규모(EB);증감률;전망 기관</t>
        </is>
      </c>
      <c r="G36" s="5" t="inlineStr">
        <is>
          <t>EB 단위 + 기관 제시</t>
        </is>
      </c>
      <c r="H36" s="5" t="inlineStr">
        <is>
          <t>용량 단위 혼동(TB · EB)</t>
        </is>
      </c>
      <c r="I36" s="20" t="inlineStr"/>
      <c r="J36" s="10" t="inlineStr"/>
      <c r="K36" s="10" t="inlineStr"/>
    </row>
    <row r="37">
      <c r="A37" s="19" t="inlineStr">
        <is>
          <t>A033</t>
        </is>
      </c>
      <c r="B37" s="5" t="inlineStr">
        <is>
          <t>2026년 메모리 업계 CapEx 총액 전망은?</t>
        </is>
      </c>
      <c r="C37" s="19" t="inlineStr">
        <is>
          <t>수치</t>
        </is>
      </c>
      <c r="D37" s="19" t="inlineStr">
        <is>
          <t>hard</t>
        </is>
      </c>
      <c r="E37" s="5" t="inlineStr">
        <is>
          <t>증권사 · 기관</t>
        </is>
      </c>
      <c r="F37" s="5" t="inlineStr">
        <is>
          <t>CapEx 금액;대상 업체 범위;전망 기관</t>
        </is>
      </c>
      <c r="G37" s="5" t="inlineStr">
        <is>
          <t>금액 + 범위 제시</t>
        </is>
      </c>
      <c r="H37" s="5" t="inlineStr">
        <is>
          <t>업체별 · 업계 합산 혼동</t>
        </is>
      </c>
      <c r="I37" s="20" t="inlineStr"/>
      <c r="J37" s="10" t="inlineStr"/>
      <c r="K37" s="10" t="inlineStr"/>
    </row>
    <row r="38">
      <c r="A38" s="19" t="inlineStr">
        <is>
          <t>A034</t>
        </is>
      </c>
      <c r="B38" s="5" t="inlineStr">
        <is>
          <t>최근 2주간 DRAM 가격 관련 보도를 정리해줘</t>
        </is>
      </c>
      <c r="C38" s="19" t="inlineStr">
        <is>
          <t>기간</t>
        </is>
      </c>
      <c r="D38" s="19" t="inlineStr">
        <is>
          <t>mid</t>
        </is>
      </c>
      <c r="E38" s="5" t="inlineStr">
        <is>
          <t>뉴스</t>
        </is>
      </c>
      <c r="F38" s="5" t="inlineStr">
        <is>
          <t>2주 내 기사만;날짜별 정리;가격 방향 요약</t>
        </is>
      </c>
      <c r="G38" s="5" t="inlineStr">
        <is>
          <t>기간 밖 기사 미포함 + 날짜 표기</t>
        </is>
      </c>
      <c r="H38" s="5" t="inlineStr">
        <is>
          <t>오래된 기사 혼입</t>
        </is>
      </c>
      <c r="I38" s="20" t="inlineStr"/>
      <c r="J38" s="10" t="inlineStr"/>
      <c r="K38" s="10" t="inlineStr"/>
    </row>
    <row r="39">
      <c r="A39" s="19" t="inlineStr">
        <is>
          <t>A035</t>
        </is>
      </c>
      <c r="B39" s="5" t="inlineStr">
        <is>
          <t>이번 분기에 발표된 감산 · 증설 계획을 정리해줘</t>
        </is>
      </c>
      <c r="C39" s="19" t="inlineStr">
        <is>
          <t>기간</t>
        </is>
      </c>
      <c r="D39" s="19" t="inlineStr">
        <is>
          <t>mid</t>
        </is>
      </c>
      <c r="E39" s="5" t="inlineStr">
        <is>
          <t>뉴스 · 증권사</t>
        </is>
      </c>
      <c r="F39" s="5" t="inlineStr">
        <is>
          <t>해당 분기 발표 건만;업체별 구분;규모 또는 시점</t>
        </is>
      </c>
      <c r="G39" s="5" t="inlineStr">
        <is>
          <t>기간 필터 정확 + 업체 구분</t>
        </is>
      </c>
      <c r="H39" s="5" t="inlineStr">
        <is>
          <t>이전 분기 발표 포함</t>
        </is>
      </c>
      <c r="I39" s="20" t="inlineStr"/>
      <c r="J39" s="10" t="inlineStr"/>
      <c r="K39" s="10" t="inlineStr"/>
    </row>
    <row r="40">
      <c r="A40" s="19" t="inlineStr">
        <is>
          <t>A036</t>
        </is>
      </c>
      <c r="B40" s="5" t="inlineStr">
        <is>
          <t>최근 한 달 HBM 관련 경쟁사 발표를 시간순으로 정리해줘</t>
        </is>
      </c>
      <c r="C40" s="19" t="inlineStr">
        <is>
          <t>기간</t>
        </is>
      </c>
      <c r="D40" s="19" t="inlineStr">
        <is>
          <t>mid</t>
        </is>
      </c>
      <c r="E40" s="5" t="inlineStr">
        <is>
          <t>뉴스</t>
        </is>
      </c>
      <c r="F40" s="5" t="inlineStr">
        <is>
          <t>한 달 내 건만;시간순 정렬;업체별 발표 내용</t>
        </is>
      </c>
      <c r="G40" s="5" t="inlineStr">
        <is>
          <t>기간 + 정렬 + 업체 구분</t>
        </is>
      </c>
      <c r="H40" s="5" t="inlineStr">
        <is>
          <t>정렬 누락 · 기간 초과</t>
        </is>
      </c>
      <c r="I40" s="20" t="inlineStr"/>
      <c r="J40" s="10" t="inlineStr"/>
      <c r="K40" s="10" t="inlineStr"/>
    </row>
    <row r="41">
      <c r="A41" s="19" t="inlineStr">
        <is>
          <t>A037</t>
        </is>
      </c>
      <c r="B41" s="5" t="inlineStr">
        <is>
          <t>계약가격 방향이 바뀐 시점과 당시 근거 보도는?</t>
        </is>
      </c>
      <c r="C41" s="19" t="inlineStr">
        <is>
          <t>기간</t>
        </is>
      </c>
      <c r="D41" s="19" t="inlineStr">
        <is>
          <t>hard</t>
        </is>
      </c>
      <c r="E41" s="5" t="inlineStr">
        <is>
          <t>기관 · 뉴스</t>
        </is>
      </c>
      <c r="F41" s="5" t="inlineStr">
        <is>
          <t>전환 시점(월);전환 방향;당시 근거 기사</t>
        </is>
      </c>
      <c r="G41" s="5" t="inlineStr">
        <is>
          <t>시점 + 방향 + 근거 제시</t>
        </is>
      </c>
      <c r="H41" s="5" t="inlineStr">
        <is>
          <t>시점 불명확</t>
        </is>
      </c>
      <c r="I41" s="20" t="inlineStr"/>
      <c r="J41" s="10" t="inlineStr"/>
      <c r="K41" s="10" t="inlineStr"/>
    </row>
    <row r="42">
      <c r="A42" s="19" t="inlineStr">
        <is>
          <t>A038</t>
        </is>
      </c>
      <c r="B42" s="5" t="inlineStr">
        <is>
          <t>최근 6개월 수출 규제 관련 조치를 시간순으로 정리해줘</t>
        </is>
      </c>
      <c r="C42" s="19" t="inlineStr">
        <is>
          <t>기간</t>
        </is>
      </c>
      <c r="D42" s="19" t="inlineStr">
        <is>
          <t>hard</t>
        </is>
      </c>
      <c r="E42" s="5" t="inlineStr">
        <is>
          <t>뉴스 · 기관</t>
        </is>
      </c>
      <c r="F42" s="5" t="inlineStr">
        <is>
          <t>6개월 내 조치;시간순;조치별 대상 · 범위</t>
        </is>
      </c>
      <c r="G42" s="5" t="inlineStr">
        <is>
          <t>기간 + 정렬 + 대상 제시</t>
        </is>
      </c>
      <c r="H42" s="5" t="inlineStr">
        <is>
          <t>발표일과 시행일 혼동</t>
        </is>
      </c>
      <c r="I42" s="20" t="inlineStr"/>
      <c r="J42" s="10" t="inlineStr"/>
      <c r="K42" s="10" t="inlineStr"/>
    </row>
    <row r="43">
      <c r="A43" s="19" t="inlineStr">
        <is>
          <t>A039</t>
        </is>
      </c>
      <c r="B43" s="5" t="inlineStr">
        <is>
          <t>이번 달 고객사 발주 · 재고 조정 관련 외부 보도는?</t>
        </is>
      </c>
      <c r="C43" s="19" t="inlineStr">
        <is>
          <t>기간</t>
        </is>
      </c>
      <c r="D43" s="19" t="inlineStr">
        <is>
          <t>mid</t>
        </is>
      </c>
      <c r="E43" s="5" t="inlineStr">
        <is>
          <t>뉴스 · 증권사</t>
        </is>
      </c>
      <c r="F43" s="5" t="inlineStr">
        <is>
          <t>이번 달 보도만;고객군 구분;조정 방향</t>
        </is>
      </c>
      <c r="G43" s="5" t="inlineStr">
        <is>
          <t>기간 정확 + 방향 제시</t>
        </is>
      </c>
      <c r="H43" s="5" t="inlineStr">
        <is>
          <t>추측성 보도와 공식 발표 혼동</t>
        </is>
      </c>
      <c r="I43" s="20" t="inlineStr"/>
      <c r="J43" s="10" t="inlineStr"/>
      <c r="K43" s="10" t="inlineStr"/>
    </row>
    <row r="44">
      <c r="A44" s="19" t="inlineStr">
        <is>
          <t>A040</t>
        </is>
      </c>
      <c r="B44" s="5" t="inlineStr">
        <is>
          <t>DRAM 가격 상승 요인을 공급 · 수요로 나눠 정리해줘</t>
        </is>
      </c>
      <c r="C44" s="19" t="inlineStr">
        <is>
          <t>종합</t>
        </is>
      </c>
      <c r="D44" s="19" t="inlineStr">
        <is>
          <t>mid</t>
        </is>
      </c>
      <c r="E44" s="5" t="inlineStr">
        <is>
          <t>증권사 · 기관 · 뉴스</t>
        </is>
      </c>
      <c r="F44" s="5" t="inlineStr">
        <is>
          <t>공급 요인 2개 이상;수요 요인 2개 이상;출처 2건 이상</t>
        </is>
      </c>
      <c r="G44" s="5" t="inlineStr">
        <is>
          <t>양측 요인 + 복수 출처 인용</t>
        </is>
      </c>
      <c r="H44" s="5" t="inlineStr">
        <is>
          <t>한쪽 요인만 서술</t>
        </is>
      </c>
      <c r="I44" s="20" t="inlineStr"/>
      <c r="J44" s="10" t="inlineStr"/>
      <c r="K44" s="10" t="inlineStr"/>
    </row>
    <row r="45">
      <c r="A45" s="19" t="inlineStr">
        <is>
          <t>A041</t>
        </is>
      </c>
      <c r="B45" s="5" t="inlineStr">
        <is>
          <t>HBM 경쟁 구도를 기술 · 고객 · 캐파 관점으로 정리해줘</t>
        </is>
      </c>
      <c r="C45" s="19" t="inlineStr">
        <is>
          <t>종합</t>
        </is>
      </c>
      <c r="D45" s="19" t="inlineStr">
        <is>
          <t>hard</t>
        </is>
      </c>
      <c r="E45" s="5" t="inlineStr">
        <is>
          <t>증권사 · 뉴스</t>
        </is>
      </c>
      <c r="F45" s="5" t="inlineStr">
        <is>
          <t>3사 기술 수준;주요 고객 관계;캐파 · 공급 계획</t>
        </is>
      </c>
      <c r="G45" s="5" t="inlineStr">
        <is>
          <t>3개 관점 모두 + 업체별 구분</t>
        </is>
      </c>
      <c r="H45" s="5" t="inlineStr">
        <is>
          <t>한 업체 중심 서술</t>
        </is>
      </c>
      <c r="I45" s="20" t="inlineStr"/>
      <c r="J45" s="10" t="inlineStr"/>
      <c r="K45" s="10" t="inlineStr"/>
    </row>
    <row r="46">
      <c r="A46" s="19" t="inlineStr">
        <is>
          <t>A042</t>
        </is>
      </c>
      <c r="B46" s="5" t="inlineStr">
        <is>
          <t>중국 메모리 업체 성장세가 범용 DRAM 시장에 주는 영향은?</t>
        </is>
      </c>
      <c r="C46" s="19" t="inlineStr">
        <is>
          <t>종합</t>
        </is>
      </c>
      <c r="D46" s="19" t="inlineStr">
        <is>
          <t>hard</t>
        </is>
      </c>
      <c r="E46" s="5" t="inlineStr">
        <is>
          <t>기관 · 증권사</t>
        </is>
      </c>
      <c r="F46" s="5" t="inlineStr">
        <is>
          <t>중국 캐파 · 제품 수준;가격 영향 경로;시차 또는 조건</t>
        </is>
      </c>
      <c r="G46" s="5" t="inlineStr">
        <is>
          <t>영향 경로 + 조건 제시</t>
        </is>
      </c>
      <c r="H46" s="5" t="inlineStr">
        <is>
          <t>단정적 결론</t>
        </is>
      </c>
      <c r="I46" s="20" t="inlineStr"/>
      <c r="J46" s="10" t="inlineStr"/>
      <c r="K46" s="10" t="inlineStr"/>
    </row>
    <row r="47">
      <c r="A47" s="19" t="inlineStr">
        <is>
          <t>A043</t>
        </is>
      </c>
      <c r="B47" s="5" t="inlineStr">
        <is>
          <t>AI 서버 수요가 서버 DRAM 과 eSSD 에 미치는 파급 경로는?</t>
        </is>
      </c>
      <c r="C47" s="19" t="inlineStr">
        <is>
          <t>종합</t>
        </is>
      </c>
      <c r="D47" s="19" t="inlineStr">
        <is>
          <t>mid</t>
        </is>
      </c>
      <c r="E47" s="5" t="inlineStr">
        <is>
          <t>증권사 · 기관</t>
        </is>
      </c>
      <c r="F47" s="5" t="inlineStr">
        <is>
          <t>AI 서버 수요 근거;DRAM 파급 경로;eSSD 파급 경로</t>
        </is>
      </c>
      <c r="G47" s="5" t="inlineStr">
        <is>
          <t>두 품목 경로 모두 제시</t>
        </is>
      </c>
      <c r="H47" s="5" t="inlineStr">
        <is>
          <t>한 품목만 서술</t>
        </is>
      </c>
      <c r="I47" s="20" t="inlineStr"/>
      <c r="J47" s="10" t="inlineStr"/>
      <c r="K47" s="10" t="inlineStr"/>
    </row>
    <row r="48">
      <c r="A48" s="19" t="inlineStr">
        <is>
          <t>A044</t>
        </is>
      </c>
      <c r="B48" s="5" t="inlineStr">
        <is>
          <t>NAND 업황 회복이 지연되는 원인을 정리해줘</t>
        </is>
      </c>
      <c r="C48" s="19" t="inlineStr">
        <is>
          <t>종합</t>
        </is>
      </c>
      <c r="D48" s="19" t="inlineStr">
        <is>
          <t>mid</t>
        </is>
      </c>
      <c r="E48" s="5" t="inlineStr">
        <is>
          <t>증권사 · 기관</t>
        </is>
      </c>
      <c r="F48" s="5" t="inlineStr">
        <is>
          <t>공급 측 원인;수요 측 원인;재고 상황</t>
        </is>
      </c>
      <c r="G48" s="5" t="inlineStr">
        <is>
          <t>3개 축 중 2개 이상 + 출처</t>
        </is>
      </c>
      <c r="H48" s="5" t="inlineStr">
        <is>
          <t>가격만 서술</t>
        </is>
      </c>
      <c r="I48" s="20" t="inlineStr"/>
      <c r="J48" s="10" t="inlineStr"/>
      <c r="K48" s="10" t="inlineStr"/>
    </row>
    <row r="49">
      <c r="A49" s="19" t="inlineStr">
        <is>
          <t>A045</t>
        </is>
      </c>
      <c r="B49" s="5" t="inlineStr">
        <is>
          <t>전력 · 부지 제약이 데이터센터 증설에 주는 제약을 정리해줘</t>
        </is>
      </c>
      <c r="C49" s="19" t="inlineStr">
        <is>
          <t>종합</t>
        </is>
      </c>
      <c r="D49" s="19" t="inlineStr">
        <is>
          <t>hard</t>
        </is>
      </c>
      <c r="E49" s="5" t="inlineStr">
        <is>
          <t>기관 · 뉴스</t>
        </is>
      </c>
      <c r="F49" s="5" t="inlineStr">
        <is>
          <t>전력 제약 사례;부지 · 인허가 제약;증설 일정 영향</t>
        </is>
      </c>
      <c r="G49" s="5" t="inlineStr">
        <is>
          <t>2개 이상 제약 + 영향 연결</t>
        </is>
      </c>
      <c r="H49" s="5" t="inlineStr">
        <is>
          <t>사례 없는 일반론</t>
        </is>
      </c>
      <c r="I49" s="20" t="inlineStr"/>
      <c r="J49" s="10" t="inlineStr"/>
      <c r="K49" s="10" t="inlineStr"/>
    </row>
    <row r="50">
      <c r="A50" s="19" t="inlineStr">
        <is>
          <t>A046</t>
        </is>
      </c>
      <c r="B50" s="5" t="inlineStr">
        <is>
          <t>HBM 공급 과잉 가능성에 대한 상반된 시각을 정리해줘</t>
        </is>
      </c>
      <c r="C50" s="19" t="inlineStr">
        <is>
          <t>종합</t>
        </is>
      </c>
      <c r="D50" s="19" t="inlineStr">
        <is>
          <t>hard</t>
        </is>
      </c>
      <c r="E50" s="5" t="inlineStr">
        <is>
          <t>증권사</t>
        </is>
      </c>
      <c r="F50" s="5" t="inlineStr">
        <is>
          <t>과잉 우려 논거;공급 부족 논거;각 시각의 출처</t>
        </is>
      </c>
      <c r="G50" s="5" t="inlineStr">
        <is>
          <t>양쪽 시각 + 각각 출처</t>
        </is>
      </c>
      <c r="H50" s="5" t="inlineStr">
        <is>
          <t>한쪽 시각만 제시</t>
        </is>
      </c>
      <c r="I50" s="20" t="inlineStr"/>
      <c r="J50" s="10" t="inlineStr"/>
      <c r="K50" s="10" t="inlineStr"/>
    </row>
    <row r="51">
      <c r="A51" s="19" t="inlineStr">
        <is>
          <t>A047</t>
        </is>
      </c>
      <c r="B51" s="5" t="inlineStr">
        <is>
          <t>관세 · 환율 변동이 메모리 손익에 미치는 경로는?</t>
        </is>
      </c>
      <c r="C51" s="19" t="inlineStr">
        <is>
          <t>종합</t>
        </is>
      </c>
      <c r="D51" s="19" t="inlineStr">
        <is>
          <t>hard</t>
        </is>
      </c>
      <c r="E51" s="5" t="inlineStr">
        <is>
          <t>증권사 · 기관</t>
        </is>
      </c>
      <c r="F51" s="5" t="inlineStr">
        <is>
          <t>관세 영향 경로;환율 영향 경로;민감도 또는 사례</t>
        </is>
      </c>
      <c r="G51" s="5" t="inlineStr">
        <is>
          <t>두 경로 + 근거 제시</t>
        </is>
      </c>
      <c r="H51" s="5" t="inlineStr">
        <is>
          <t>방향만 서술하고 경로 누락</t>
        </is>
      </c>
      <c r="I51" s="20" t="inlineStr"/>
      <c r="J51" s="10" t="inlineStr"/>
      <c r="K51" s="10" t="inlineStr"/>
    </row>
    <row r="52">
      <c r="A52" s="19" t="inlineStr">
        <is>
          <t>A048</t>
        </is>
      </c>
      <c r="B52" s="5" t="inlineStr">
        <is>
          <t>경쟁사 감산 발표가 실제 가격에 반영되기까지의 시차는?</t>
        </is>
      </c>
      <c r="C52" s="19" t="inlineStr">
        <is>
          <t>종합</t>
        </is>
      </c>
      <c r="D52" s="19" t="inlineStr">
        <is>
          <t>hard</t>
        </is>
      </c>
      <c r="E52" s="5" t="inlineStr">
        <is>
          <t>증권사 · 기관</t>
        </is>
      </c>
      <c r="F52" s="5" t="inlineStr">
        <is>
          <t>과거 사례;반영 시차(개월);조건 · 전제</t>
        </is>
      </c>
      <c r="G52" s="5" t="inlineStr">
        <is>
          <t>사례 + 시차 제시</t>
        </is>
      </c>
      <c r="H52" s="5" t="inlineStr">
        <is>
          <t>사례 없이 단정</t>
        </is>
      </c>
      <c r="I52" s="20" t="inlineStr"/>
      <c r="J52" s="10" t="inlineStr"/>
      <c r="K52" s="10" t="inlineStr"/>
    </row>
    <row r="53">
      <c r="A53" s="19" t="inlineStr">
        <is>
          <t>A049</t>
        </is>
      </c>
      <c r="B53" s="5" t="inlineStr">
        <is>
          <t>SK하이닉스와 삼성전자의 HBM4 로드맵을 비교해줘</t>
        </is>
      </c>
      <c r="C53" s="19" t="inlineStr">
        <is>
          <t>비교</t>
        </is>
      </c>
      <c r="D53" s="19" t="inlineStr">
        <is>
          <t>mid</t>
        </is>
      </c>
      <c r="E53" s="5" t="inlineStr">
        <is>
          <t>뉴스 · 증권사</t>
        </is>
      </c>
      <c r="F53" s="5" t="inlineStr">
        <is>
          <t>양사 일정;기술 사양 차이;출처 각각</t>
        </is>
      </c>
      <c r="G53" s="5" t="inlineStr">
        <is>
          <t>양사 모두 + 항목별 대비</t>
        </is>
      </c>
      <c r="H53" s="5" t="inlineStr">
        <is>
          <t>한 곳만 상세</t>
        </is>
      </c>
      <c r="I53" s="20" t="inlineStr"/>
      <c r="J53" s="10" t="inlineStr"/>
      <c r="K53" s="10" t="inlineStr"/>
    </row>
    <row r="54">
      <c r="A54" s="19" t="inlineStr">
        <is>
          <t>A050</t>
        </is>
      </c>
      <c r="B54" s="5" t="inlineStr">
        <is>
          <t>마이크론과 경쟁사의 미국 내 증설 규모를 비교해줘</t>
        </is>
      </c>
      <c r="C54" s="19" t="inlineStr">
        <is>
          <t>비교</t>
        </is>
      </c>
      <c r="D54" s="19" t="inlineStr">
        <is>
          <t>mid</t>
        </is>
      </c>
      <c r="E54" s="5" t="inlineStr">
        <is>
          <t>뉴스 · 기관</t>
        </is>
      </c>
      <c r="F54" s="5" t="inlineStr">
        <is>
          <t>업체별 투자 규모;지역 · 용도;시점</t>
        </is>
      </c>
      <c r="G54" s="5" t="inlineStr">
        <is>
          <t>2개사 이상 대비 + 시점</t>
        </is>
      </c>
      <c r="H54" s="5" t="inlineStr">
        <is>
          <t>총액과 단계별 투자 혼동</t>
        </is>
      </c>
      <c r="I54" s="20" t="inlineStr"/>
      <c r="J54" s="10" t="inlineStr"/>
      <c r="K54" s="10" t="inlineStr"/>
    </row>
    <row r="55">
      <c r="A55" s="19" t="inlineStr">
        <is>
          <t>A051</t>
        </is>
      </c>
      <c r="B55" s="5" t="inlineStr">
        <is>
          <t>DDR5 와 DDR4 가격 격차 추이를 비교해줘</t>
        </is>
      </c>
      <c r="C55" s="19" t="inlineStr">
        <is>
          <t>비교</t>
        </is>
      </c>
      <c r="D55" s="19" t="inlineStr">
        <is>
          <t>mid</t>
        </is>
      </c>
      <c r="E55" s="5" t="inlineStr">
        <is>
          <t>기관</t>
        </is>
      </c>
      <c r="F55" s="5" t="inlineStr">
        <is>
          <t>두 제품 가격;격차 추이 방향;기준 시점</t>
        </is>
      </c>
      <c r="G55" s="5" t="inlineStr">
        <is>
          <t>양 제품 + 추이 제시</t>
        </is>
      </c>
      <c r="H55" s="5" t="inlineStr">
        <is>
          <t>규격 · 기준 불일치</t>
        </is>
      </c>
      <c r="I55" s="20" t="inlineStr"/>
      <c r="J55" s="10" t="inlineStr"/>
      <c r="K55" s="10" t="inlineStr"/>
    </row>
    <row r="56">
      <c r="A56" s="19" t="inlineStr">
        <is>
          <t>A052</t>
        </is>
      </c>
      <c r="B56" s="5" t="inlineStr">
        <is>
          <t>증권사별 4분기 DRAM 가격 전망 차이를 비교해줘</t>
        </is>
      </c>
      <c r="C56" s="19" t="inlineStr">
        <is>
          <t>비교</t>
        </is>
      </c>
      <c r="D56" s="19" t="inlineStr">
        <is>
          <t>hard</t>
        </is>
      </c>
      <c r="E56" s="5" t="inlineStr">
        <is>
          <t>증권사</t>
        </is>
      </c>
      <c r="F56" s="5" t="inlineStr">
        <is>
          <t>증권사 2곳 이상 전망치;차이 원인;발표 시점</t>
        </is>
      </c>
      <c r="G56" s="5" t="inlineStr">
        <is>
          <t>2곳 이상 + 차이 원인</t>
        </is>
      </c>
      <c r="H56" s="5" t="inlineStr">
        <is>
          <t>평균만 제시</t>
        </is>
      </c>
      <c r="I56" s="20" t="inlineStr"/>
      <c r="J56" s="10" t="inlineStr"/>
      <c r="K56" s="10" t="inlineStr"/>
    </row>
    <row r="57">
      <c r="A57" s="19" t="inlineStr">
        <is>
          <t>A053</t>
        </is>
      </c>
      <c r="B57" s="5" t="inlineStr">
        <is>
          <t>HBM 과 범용 DRAM 의 수익성을 비교해줘</t>
        </is>
      </c>
      <c r="C57" s="19" t="inlineStr">
        <is>
          <t>비교</t>
        </is>
      </c>
      <c r="D57" s="19" t="inlineStr">
        <is>
          <t>hard</t>
        </is>
      </c>
      <c r="E57" s="5" t="inlineStr">
        <is>
          <t>증권사</t>
        </is>
      </c>
      <c r="F57" s="5" t="inlineStr">
        <is>
          <t>수익성 지표(마진 · ASP);비교 기준;추정 · 실적 구분</t>
        </is>
      </c>
      <c r="G57" s="5" t="inlineStr">
        <is>
          <t>양쪽 지표 + 기준 명시</t>
        </is>
      </c>
      <c r="H57" s="5" t="inlineStr">
        <is>
          <t>추정치를 실적처럼 제시</t>
        </is>
      </c>
      <c r="I57" s="20" t="inlineStr"/>
      <c r="J57" s="10" t="inlineStr"/>
      <c r="K57" s="10" t="inlineStr"/>
    </row>
    <row r="58">
      <c r="A58" s="19" t="inlineStr">
        <is>
          <t>A054</t>
        </is>
      </c>
      <c r="B58" s="5" t="inlineStr">
        <is>
          <t>중국 CXMT 와 글로벌 3사의 기술 격차를 비교해줘</t>
        </is>
      </c>
      <c r="C58" s="19" t="inlineStr">
        <is>
          <t>비교</t>
        </is>
      </c>
      <c r="D58" s="19" t="inlineStr">
        <is>
          <t>hard</t>
        </is>
      </c>
      <c r="E58" s="5" t="inlineStr">
        <is>
          <t>기관 · 증권사</t>
        </is>
      </c>
      <c r="F58" s="5" t="inlineStr">
        <is>
          <t>세대 · 공정 수준 비교;격차 기간(년);근거 출처</t>
        </is>
      </c>
      <c r="G58" s="5" t="inlineStr">
        <is>
          <t>세대 비교 + 격차 + 출처</t>
        </is>
      </c>
      <c r="H58" s="5" t="inlineStr">
        <is>
          <t>근거 없는 격차 단정</t>
        </is>
      </c>
      <c r="I58" s="20" t="inlineStr"/>
      <c r="J58" s="10" t="inlineStr"/>
      <c r="K58" s="10" t="inlineStr"/>
    </row>
    <row r="59">
      <c r="A59" s="19" t="inlineStr">
        <is>
          <t>A055</t>
        </is>
      </c>
      <c r="B59" s="5" t="inlineStr">
        <is>
          <t>당사 제품별 원가 구조와 수율은?</t>
        </is>
      </c>
      <c r="C59" s="19" t="inlineStr">
        <is>
          <t>답없음</t>
        </is>
      </c>
      <c r="D59" s="19" t="inlineStr">
        <is>
          <t>easy</t>
        </is>
      </c>
      <c r="E59" s="5" t="inlineStr">
        <is>
          <t>-</t>
        </is>
      </c>
      <c r="F59" s="5" t="inlineStr">
        <is>
          <t>"확인된 자료 없음" 응답;추정 수치 미제시</t>
        </is>
      </c>
      <c r="G59" s="5" t="inlineStr">
        <is>
          <t>거절 + 추정 금지</t>
        </is>
      </c>
      <c r="H59" s="5" t="inlineStr">
        <is>
          <t>추정치 생성</t>
        </is>
      </c>
      <c r="I59" s="20" t="inlineStr"/>
      <c r="J59" s="10" t="inlineStr"/>
      <c r="K59" s="10" t="inlineStr"/>
    </row>
    <row r="60">
      <c r="A60" s="19" t="inlineStr">
        <is>
          <t>A056</t>
        </is>
      </c>
      <c r="B60" s="5" t="inlineStr">
        <is>
          <t>경쟁사의 실제 고객별 계약 단가는?</t>
        </is>
      </c>
      <c r="C60" s="19" t="inlineStr">
        <is>
          <t>답없음</t>
        </is>
      </c>
      <c r="D60" s="19" t="inlineStr">
        <is>
          <t>easy</t>
        </is>
      </c>
      <c r="E60" s="5" t="inlineStr">
        <is>
          <t>-</t>
        </is>
      </c>
      <c r="F60" s="5" t="inlineStr">
        <is>
          <t>"확인된 자료 없음" 응답;비공개 사유 언급 가능</t>
        </is>
      </c>
      <c r="G60" s="5" t="inlineStr">
        <is>
          <t>거절</t>
        </is>
      </c>
      <c r="H60" s="5" t="inlineStr">
        <is>
          <t>시장가를 계약가로 제시</t>
        </is>
      </c>
      <c r="I60" s="20" t="inlineStr"/>
      <c r="J60" s="10" t="inlineStr"/>
      <c r="K60" s="10" t="inlineStr"/>
    </row>
    <row r="61">
      <c r="A61" s="19" t="inlineStr">
        <is>
          <t>A057</t>
        </is>
      </c>
      <c r="B61" s="5" t="inlineStr">
        <is>
          <t>2027년 확정 계약 물량은 얼마인가?</t>
        </is>
      </c>
      <c r="C61" s="19" t="inlineStr">
        <is>
          <t>답없음</t>
        </is>
      </c>
      <c r="D61" s="19" t="inlineStr">
        <is>
          <t>easy</t>
        </is>
      </c>
      <c r="E61" s="5" t="inlineStr">
        <is>
          <t>-</t>
        </is>
      </c>
      <c r="F61" s="5" t="inlineStr">
        <is>
          <t>"확인된 자료 없음" 응답;전망치와 구분 설명</t>
        </is>
      </c>
      <c r="G61" s="5" t="inlineStr">
        <is>
          <t>거절 + 구분 설명</t>
        </is>
      </c>
      <c r="H61" s="5" t="inlineStr">
        <is>
          <t>전망치를 확정으로 제시</t>
        </is>
      </c>
      <c r="I61" s="20" t="inlineStr"/>
      <c r="J61" s="10" t="inlineStr"/>
      <c r="K61" s="10" t="inlineStr"/>
    </row>
    <row r="62">
      <c r="A62" s="19" t="inlineStr">
        <is>
          <t>A058</t>
        </is>
      </c>
      <c r="B62" s="5" t="inlineStr">
        <is>
          <t>특정 고객사와의 계약 조건 세부 내용은?</t>
        </is>
      </c>
      <c r="C62" s="19" t="inlineStr">
        <is>
          <t>답없음</t>
        </is>
      </c>
      <c r="D62" s="19" t="inlineStr">
        <is>
          <t>easy</t>
        </is>
      </c>
      <c r="E62" s="5" t="inlineStr">
        <is>
          <t>-</t>
        </is>
      </c>
      <c r="F62" s="5" t="inlineStr">
        <is>
          <t>"확인된 자료 없음" 응답</t>
        </is>
      </c>
      <c r="G62" s="5" t="inlineStr">
        <is>
          <t>거절</t>
        </is>
      </c>
      <c r="H62" s="5" t="inlineStr">
        <is>
          <t>유사 보도 추정 제시</t>
        </is>
      </c>
      <c r="I62" s="20" t="inlineStr"/>
      <c r="J62" s="10" t="inlineStr"/>
      <c r="K62" s="10" t="inlineStr"/>
    </row>
    <row r="63">
      <c r="A63" s="19" t="inlineStr">
        <is>
          <t>A059</t>
        </is>
      </c>
      <c r="B63" s="5" t="inlineStr">
        <is>
          <t>TSMC 의 지난 분기 DRAM 출하량은?</t>
        </is>
      </c>
      <c r="C63" s="19" t="inlineStr">
        <is>
          <t>답없음</t>
        </is>
      </c>
      <c r="D63" s="19" t="inlineStr">
        <is>
          <t>mid</t>
        </is>
      </c>
      <c r="E63" s="5" t="inlineStr">
        <is>
          <t>-</t>
        </is>
      </c>
      <c r="F63" s="5" t="inlineStr">
        <is>
          <t>전제 오류 지적(TSMC 는 DRAM 미생산);"자료 없음" 또는 정정</t>
        </is>
      </c>
      <c r="G63" s="5" t="inlineStr">
        <is>
          <t>전제 오류 지적 시 정답</t>
        </is>
      </c>
      <c r="H63" s="5" t="inlineStr">
        <is>
          <t>숫자 생성</t>
        </is>
      </c>
      <c r="I63" s="20" t="inlineStr"/>
      <c r="J63" s="10" t="inlineStr"/>
      <c r="K63" s="10" t="inlineStr"/>
    </row>
    <row r="64">
      <c r="A64" s="19" t="inlineStr">
        <is>
          <t>A060</t>
        </is>
      </c>
      <c r="B64" s="5" t="inlineStr">
        <is>
          <t>다음 분기 DRAM 계약가격의 정확한 확정 수치는?</t>
        </is>
      </c>
      <c r="C64" s="19" t="inlineStr">
        <is>
          <t>답없음</t>
        </is>
      </c>
      <c r="D64" s="19" t="inlineStr">
        <is>
          <t>mid</t>
        </is>
      </c>
      <c r="E64" s="5" t="inlineStr">
        <is>
          <t>-</t>
        </is>
      </c>
      <c r="F64" s="5" t="inlineStr">
        <is>
          <t>확정 불가 설명;전망치는 전망으로 구분 제시 가능</t>
        </is>
      </c>
      <c r="G64" s="5" t="inlineStr">
        <is>
          <t>확정 불가 명시</t>
        </is>
      </c>
      <c r="H64" s="5" t="inlineStr">
        <is>
          <t>전망치를 확정으로 단정</t>
        </is>
      </c>
      <c r="I64" s="20" t="inlineStr"/>
      <c r="J64" s="10" t="inlineStr"/>
      <c r="K64" s="10" t="inlineStr"/>
    </row>
    <row r="66">
      <c r="A66" s="11" t="inlineStr">
        <is>
          <t>집계</t>
        </is>
      </c>
    </row>
    <row r="67">
      <c r="A67" s="12" t="inlineStr">
        <is>
          <t>채점 완료</t>
        </is>
      </c>
      <c r="B67" s="21">
        <f>COUNT(I5:I64)</f>
        <v>0</v>
      </c>
    </row>
    <row r="68">
      <c r="A68" s="12" t="inlineStr">
        <is>
          <t>평균 점수</t>
        </is>
      </c>
      <c r="B68" s="21" t="str">
        <f>IFERROR(AVERAGE(I5:I64),"")</f>
        <v/>
      </c>
    </row>
    <row r="69">
      <c r="A69" s="12" t="inlineStr">
        <is>
          <t>답없음 정확도</t>
        </is>
      </c>
      <c r="B69" s="21" t="str">
        <f>IFERROR(SUMIFS(I5:I64,C5:C64,"답없음")/COUNTIFS(C5:C64,"답없음",I5:I64,"&lt;&gt;"),"")</f>
        <v/>
      </c>
    </row>
    <row r="70">
      <c r="A70" s="12" t="inlineStr">
        <is>
          <t>합격 판정 (평균 ≥ 0.75)</t>
        </is>
      </c>
      <c r="B70" s="21" t="str">
        <f>IF(B68="","",IF(B68&gt;=0.75,"충족","미달"))</f>
        <v/>
      </c>
    </row>
  </sheetData>
  <autoFilter ref="A4:K64"/>
  <mergeCells count="2">
    <mergeCell ref="A2:K2"/>
    <mergeCell ref="A1:K1"/>
  </mergeCells>
  <dataValidations count="1">
    <dataValidation sqref="I5:I64" showDropDown="0" showInputMessage="0" showErrorMessage="0" allowBlank="1" type="list">
      <formula1>"1,0.67,0.5,0.33,0"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8" customWidth="1" min="2" max="2"/>
    <col width="40" customWidth="1" min="3" max="3"/>
  </cols>
  <sheetData>
    <row r="1">
      <c r="A1" s="8" t="inlineStr">
        <is>
          <t>2c. 답변 채점 기준</t>
        </is>
      </c>
    </row>
    <row r="2">
      <c r="A2" s="2" t="inlineStr">
        <is>
          <t>2b 시트의 측정 점수 부여 기준 · 사내 실정에 맞게 조정 가능</t>
        </is>
      </c>
    </row>
    <row r="4">
      <c r="A4" s="3" t="inlineStr">
        <is>
          <t>규칙</t>
        </is>
      </c>
      <c r="B4" s="3" t="inlineStr">
        <is>
          <t>내용</t>
        </is>
      </c>
      <c r="C4" s="3" t="inlineStr">
        <is>
          <t>예</t>
        </is>
      </c>
    </row>
    <row r="5">
      <c r="A5" s="4" t="inlineStr">
        <is>
          <t>요소 채점</t>
        </is>
      </c>
      <c r="B5" s="5" t="inlineStr">
        <is>
          <t>필수 요소(must_include) 각 1점 · 모두 충족 = 1.0 · 부분 충족 = 충족 요소 / 전체 요소</t>
        </is>
      </c>
      <c r="C5" s="5" t="inlineStr">
        <is>
          <t>요소 3개 중 2개 충족 → 0.67</t>
        </is>
      </c>
    </row>
    <row r="6">
      <c r="A6" s="4" t="inlineStr">
        <is>
          <t>출처 필수</t>
        </is>
      </c>
      <c r="B6" s="5" t="inlineStr">
        <is>
          <t>수치 · 사실 문항은 출처(기관 · 언론사 · 발행일) 누락 시 0.5 감점</t>
        </is>
      </c>
      <c r="C6" s="5" t="inlineStr">
        <is>
          <t>출처 없는 수치는 검증 불가</t>
        </is>
      </c>
    </row>
    <row r="7">
      <c r="A7" s="4" t="inlineStr">
        <is>
          <t>시점 표기</t>
        </is>
      </c>
      <c r="B7" s="5" t="inlineStr">
        <is>
          <t>수치 문항은 기준 시점(분기 · 월) 누락 시 0.5 감점</t>
        </is>
      </c>
      <c r="C7" s="5" t="inlineStr">
        <is>
          <t>"최근"만으로는 재현 불가</t>
        </is>
      </c>
    </row>
    <row r="8">
      <c r="A8" s="4" t="inlineStr">
        <is>
          <t>추정 구분</t>
        </is>
      </c>
      <c r="B8" s="5" t="inlineStr">
        <is>
          <t>전망 · 추정치를 확정처럼 서술하면 해당 문항 0점</t>
        </is>
      </c>
      <c r="C8" s="5" t="inlineStr">
        <is>
          <t>정합성 위반</t>
        </is>
      </c>
    </row>
    <row r="9">
      <c r="A9" s="4" t="inlineStr">
        <is>
          <t>답없음 문항</t>
        </is>
      </c>
      <c r="B9" s="5" t="inlineStr">
        <is>
          <t>"확인된 자료 없음" 또는 전제 오류 지적 시 1.0 · 답변 생성 시 0</t>
        </is>
      </c>
      <c r="C9" s="5" t="inlineStr">
        <is>
          <t>환각 방지 측정</t>
        </is>
      </c>
    </row>
    <row r="10">
      <c r="A10" s="4" t="inlineStr">
        <is>
          <t>종합 · 비교 문항</t>
        </is>
      </c>
      <c r="B10" s="5" t="inlineStr">
        <is>
          <t>요소 충족 + 출처 2건 이상 인용 시 1.0 · 한쪽만 서술 시 0.5</t>
        </is>
      </c>
      <c r="C10" s="5" t="inlineStr">
        <is>
          <t>단일 출처 의존 방지</t>
        </is>
      </c>
    </row>
    <row r="11">
      <c r="A11" s="4" t="inlineStr">
        <is>
          <t>합격선</t>
        </is>
      </c>
      <c r="B11" s="5" t="inlineStr">
        <is>
          <t>전체 평균 0.75 이상 · 답없음 문항 정확도 0.80 이상</t>
        </is>
      </c>
      <c r="C11" s="5" t="inlineStr">
        <is>
          <t>기준 미달 시 S13 · S14 프롬프트 점검</t>
        </is>
      </c>
    </row>
  </sheetData>
  <autoFilter ref="A4:C4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8" customWidth="1" min="4" max="4"/>
    <col width="24" customWidth="1" min="5" max="5"/>
    <col width="16" customWidth="1" min="6" max="6"/>
    <col width="10" customWidth="1" min="7" max="7"/>
    <col width="14" customWidth="1" min="8" max="8"/>
    <col width="16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9" customWidth="1" min="18" max="18"/>
    <col width="10" customWidth="1" min="19" max="19"/>
    <col width="11" customWidth="1" min="20" max="20"/>
    <col width="26" customWidth="1" min="21" max="21"/>
  </cols>
  <sheetData>
    <row r="1">
      <c r="A1" s="8" t="inlineStr">
        <is>
          <t>3. 평가 실행 기록 — 회차별</t>
        </is>
      </c>
    </row>
    <row r="2">
      <c r="A2" s="2" t="inlineStr">
        <is>
          <t>nb06 · nb08 출력값 기입 · 설정은 1회차에 1개만 변경 · S · T 열 자동 계산</t>
        </is>
      </c>
    </row>
    <row r="4">
      <c r="A4" s="3" t="inlineStr">
        <is>
          <t>RUN_ID</t>
        </is>
      </c>
      <c r="B4" s="3" t="inlineStr">
        <is>
          <t>일자</t>
        </is>
      </c>
      <c r="C4" s="3" t="inlineStr">
        <is>
          <t>평가셋 버전</t>
        </is>
      </c>
      <c r="D4" s="3" t="inlineStr">
        <is>
          <t>문항수</t>
        </is>
      </c>
      <c r="E4" s="3" t="inlineStr">
        <is>
          <t>변경 설정(1개)</t>
        </is>
      </c>
      <c r="F4" s="3" t="inlineStr">
        <is>
          <t>청킹</t>
        </is>
      </c>
      <c r="G4" s="3" t="inlineStr">
        <is>
          <t>헤더</t>
        </is>
      </c>
      <c r="H4" s="3" t="inlineStr">
        <is>
          <t>BM25 토크나이저</t>
        </is>
      </c>
      <c r="I4" s="3" t="inlineStr">
        <is>
          <t>리랭커</t>
        </is>
      </c>
      <c r="J4" s="3" t="inlineStr">
        <is>
          <t>후보수</t>
        </is>
      </c>
      <c r="K4" s="3" t="inlineStr">
        <is>
          <t>R@1</t>
        </is>
      </c>
      <c r="L4" s="3" t="inlineStr">
        <is>
          <t>R@5</t>
        </is>
      </c>
      <c r="M4" s="3" t="inlineStr">
        <is>
          <t>R@10</t>
        </is>
      </c>
      <c r="N4" s="3" t="inlineStr">
        <is>
          <t>MRR</t>
        </is>
      </c>
      <c r="O4" s="3" t="inlineStr">
        <is>
          <t>nDCG@10</t>
        </is>
      </c>
      <c r="P4" s="3" t="inlineStr">
        <is>
          <t>충실도</t>
        </is>
      </c>
      <c r="Q4" s="3" t="inlineStr">
        <is>
          <t>인용 정확도</t>
        </is>
      </c>
      <c r="R4" s="3" t="inlineStr">
        <is>
          <t>모름 정확도</t>
        </is>
      </c>
      <c r="S4" s="3" t="inlineStr">
        <is>
          <t>R@5 판정</t>
        </is>
      </c>
      <c r="T4" s="3" t="inlineStr">
        <is>
          <t>오차(±%p)</t>
        </is>
      </c>
      <c r="U4" s="3" t="inlineStr">
        <is>
          <t>비고</t>
        </is>
      </c>
    </row>
    <row r="5">
      <c r="A5" s="9" t="inlineStr">
        <is>
          <t>RUN-001</t>
        </is>
      </c>
      <c r="B5" s="9" t="inlineStr">
        <is>
          <t>2026-10-06</t>
        </is>
      </c>
      <c r="C5" s="9" t="inlineStr">
        <is>
          <t>v1</t>
        </is>
      </c>
      <c r="D5" s="9" t="n">
        <v>230</v>
      </c>
      <c r="E5" s="9" t="inlineStr">
        <is>
          <t>기준선(현행)</t>
        </is>
      </c>
      <c r="F5" s="9" t="inlineStr">
        <is>
          <t>고정 500</t>
        </is>
      </c>
      <c r="G5" s="9" t="inlineStr">
        <is>
          <t>없음</t>
        </is>
      </c>
      <c r="H5" s="9" t="inlineStr">
        <is>
          <t>공백</t>
        </is>
      </c>
      <c r="I5" s="9" t="inlineStr">
        <is>
          <t>bge-reranker-v2-m3</t>
        </is>
      </c>
      <c r="J5" s="9" t="n">
        <v>50</v>
      </c>
      <c r="K5" s="22" t="n">
        <v>0.62</v>
      </c>
      <c r="L5" s="22" t="n">
        <v>0.78</v>
      </c>
      <c r="M5" s="22" t="n">
        <v>0.85</v>
      </c>
      <c r="N5" s="22" t="n">
        <v>0.6899999999999999</v>
      </c>
      <c r="O5" s="22" t="n">
        <v>0.72</v>
      </c>
      <c r="P5" s="22" t="n">
        <v>0.74</v>
      </c>
      <c r="Q5" s="22" t="n">
        <v>0.61</v>
      </c>
      <c r="R5" s="22" t="n">
        <v>0.55</v>
      </c>
      <c r="S5" s="23" t="str">
        <f>IF(L5="","",IF(L5&gt;=0.8,"충족","미달"))</f>
        <v>미달</v>
      </c>
      <c r="T5" s="24">
        <f>IF(OR(D5="",L5=""),"",1.96*SQRT(L5*(1-L5)/D5)*100)</f>
        <v>5.353660105174695</v>
      </c>
      <c r="U5" s="9" t="inlineStr">
        <is>
          <t>보강 전 기준선</t>
        </is>
      </c>
    </row>
    <row r="6">
      <c r="A6" s="9" t="inlineStr">
        <is>
          <t>RUN-002</t>
        </is>
      </c>
      <c r="B6" s="9" t="inlineStr">
        <is>
          <t>2026-10-13</t>
        </is>
      </c>
      <c r="C6" s="9" t="inlineStr">
        <is>
          <t>v1</t>
        </is>
      </c>
      <c r="D6" s="9" t="n">
        <v>230</v>
      </c>
      <c r="E6" s="9" t="inlineStr">
        <is>
          <t>BM25 토크나이저</t>
        </is>
      </c>
      <c r="F6" s="9" t="inlineStr">
        <is>
          <t>고정 500</t>
        </is>
      </c>
      <c r="G6" s="9" t="inlineStr">
        <is>
          <t>없음</t>
        </is>
      </c>
      <c r="H6" s="9" t="inlineStr">
        <is>
          <t>Kiwi</t>
        </is>
      </c>
      <c r="I6" s="9" t="inlineStr">
        <is>
          <t>bge-reranker-v2-m3</t>
        </is>
      </c>
      <c r="J6" s="9" t="n">
        <v>50</v>
      </c>
      <c r="K6" s="22" t="n">
        <v>0.71</v>
      </c>
      <c r="L6" s="22" t="n">
        <v>0.86</v>
      </c>
      <c r="M6" s="22" t="n">
        <v>0.92</v>
      </c>
      <c r="N6" s="22" t="n">
        <v>0.77</v>
      </c>
      <c r="O6" s="22" t="n">
        <v>0.8</v>
      </c>
      <c r="P6" s="22" t="n">
        <v>0.76</v>
      </c>
      <c r="Q6" s="22" t="n">
        <v>0.63</v>
      </c>
      <c r="R6" s="22" t="n">
        <v>0.58</v>
      </c>
      <c r="S6" s="23" t="str">
        <f>IF(L6="","",IF(L6&gt;=0.8,"충족","미달"))</f>
        <v>충족</v>
      </c>
      <c r="T6" s="24">
        <f>IF(OR(D6="",L6=""),"",1.96*SQRT(L6*(1-L6)/D6)*100)</f>
        <v>4.484410872072854</v>
      </c>
      <c r="U6" s="9" t="inlineStr">
        <is>
          <t>형태소 적용</t>
        </is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25" t="n"/>
      <c r="L7" s="25" t="n"/>
      <c r="M7" s="25" t="n"/>
      <c r="N7" s="25" t="n"/>
      <c r="O7" s="25" t="n"/>
      <c r="P7" s="25" t="n"/>
      <c r="Q7" s="25" t="n"/>
      <c r="R7" s="25" t="n"/>
      <c r="S7" s="23" t="str">
        <f>IF(L7="","",IF(L7&gt;=0.8,"충족","미달"))</f>
        <v/>
      </c>
      <c r="T7" s="24" t="str">
        <f>IF(OR(D7="",L7=""),"",1.96*SQRT(L7*(1-L7)/D7)*100)</f>
        <v/>
      </c>
      <c r="U7" s="5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25" t="n"/>
      <c r="L8" s="25" t="n"/>
      <c r="M8" s="25" t="n"/>
      <c r="N8" s="25" t="n"/>
      <c r="O8" s="25" t="n"/>
      <c r="P8" s="25" t="n"/>
      <c r="Q8" s="25" t="n"/>
      <c r="R8" s="25" t="n"/>
      <c r="S8" s="23" t="str">
        <f>IF(L8="","",IF(L8&gt;=0.8,"충족","미달"))</f>
        <v/>
      </c>
      <c r="T8" s="24" t="str">
        <f>IF(OR(D8="",L8=""),"",1.96*SQRT(L8*(1-L8)/D8)*100)</f>
        <v/>
      </c>
      <c r="U8" s="5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25" t="n"/>
      <c r="L9" s="25" t="n"/>
      <c r="M9" s="25" t="n"/>
      <c r="N9" s="25" t="n"/>
      <c r="O9" s="25" t="n"/>
      <c r="P9" s="25" t="n"/>
      <c r="Q9" s="25" t="n"/>
      <c r="R9" s="25" t="n"/>
      <c r="S9" s="23" t="str">
        <f>IF(L9="","",IF(L9&gt;=0.8,"충족","미달"))</f>
        <v/>
      </c>
      <c r="T9" s="24" t="str">
        <f>IF(OR(D9="",L9=""),"",1.96*SQRT(L9*(1-L9)/D9)*100)</f>
        <v/>
      </c>
      <c r="U9" s="5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3" t="str">
        <f>IF(L10="","",IF(L10&gt;=0.8,"충족","미달"))</f>
        <v/>
      </c>
      <c r="T10" s="24" t="str">
        <f>IF(OR(D10="",L10=""),"",1.96*SQRT(L10*(1-L10)/D10)*100)</f>
        <v/>
      </c>
      <c r="U10" s="5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3" t="str">
        <f>IF(L11="","",IF(L11&gt;=0.8,"충족","미달"))</f>
        <v/>
      </c>
      <c r="T11" s="24" t="str">
        <f>IF(OR(D11="",L11=""),"",1.96*SQRT(L11*(1-L11)/D11)*100)</f>
        <v/>
      </c>
      <c r="U11" s="5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3" t="str">
        <f>IF(L12="","",IF(L12&gt;=0.8,"충족","미달"))</f>
        <v/>
      </c>
      <c r="T12" s="24" t="str">
        <f>IF(OR(D12="",L12=""),"",1.96*SQRT(L12*(1-L12)/D12)*100)</f>
        <v/>
      </c>
      <c r="U12" s="5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3" t="str">
        <f>IF(L13="","",IF(L13&gt;=0.8,"충족","미달"))</f>
        <v/>
      </c>
      <c r="T13" s="24" t="str">
        <f>IF(OR(D13="",L13=""),"",1.96*SQRT(L13*(1-L13)/D13)*100)</f>
        <v/>
      </c>
      <c r="U13" s="5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3" t="str">
        <f>IF(L14="","",IF(L14&gt;=0.8,"충족","미달"))</f>
        <v/>
      </c>
      <c r="T14" s="24" t="str">
        <f>IF(OR(D14="",L14=""),"",1.96*SQRT(L14*(1-L14)/D14)*100)</f>
        <v/>
      </c>
      <c r="U14" s="5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3" t="str">
        <f>IF(L15="","",IF(L15&gt;=0.8,"충족","미달"))</f>
        <v/>
      </c>
      <c r="T15" s="24" t="str">
        <f>IF(OR(D15="",L15=""),"",1.96*SQRT(L15*(1-L15)/D15)*100)</f>
        <v/>
      </c>
      <c r="U15" s="5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3" t="str">
        <f>IF(L16="","",IF(L16&gt;=0.8,"충족","미달"))</f>
        <v/>
      </c>
      <c r="T16" s="24" t="str">
        <f>IF(OR(D16="",L16=""),"",1.96*SQRT(L16*(1-L16)/D16)*100)</f>
        <v/>
      </c>
      <c r="U16" s="5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3" t="str">
        <f>IF(L17="","",IF(L17&gt;=0.8,"충족","미달"))</f>
        <v/>
      </c>
      <c r="T17" s="24" t="str">
        <f>IF(OR(D17="",L17=""),"",1.96*SQRT(L17*(1-L17)/D17)*100)</f>
        <v/>
      </c>
      <c r="U17" s="5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3" t="str">
        <f>IF(L18="","",IF(L18&gt;=0.8,"충족","미달"))</f>
        <v/>
      </c>
      <c r="T18" s="24" t="str">
        <f>IF(OR(D18="",L18=""),"",1.96*SQRT(L18*(1-L18)/D18)*100)</f>
        <v/>
      </c>
      <c r="U18" s="5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3" t="str">
        <f>IF(L19="","",IF(L19&gt;=0.8,"충족","미달"))</f>
        <v/>
      </c>
      <c r="T19" s="24" t="str">
        <f>IF(OR(D19="",L19=""),"",1.96*SQRT(L19*(1-L19)/D19)*100)</f>
        <v/>
      </c>
      <c r="U19" s="5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3" t="str">
        <f>IF(L20="","",IF(L20&gt;=0.8,"충족","미달"))</f>
        <v/>
      </c>
      <c r="T20" s="24" t="str">
        <f>IF(OR(D20="",L20=""),"",1.96*SQRT(L20*(1-L20)/D20)*100)</f>
        <v/>
      </c>
      <c r="U20" s="5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3" t="str">
        <f>IF(L21="","",IF(L21&gt;=0.8,"충족","미달"))</f>
        <v/>
      </c>
      <c r="T21" s="24" t="str">
        <f>IF(OR(D21="",L21=""),"",1.96*SQRT(L21*(1-L21)/D21)*100)</f>
        <v/>
      </c>
      <c r="U21" s="5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3" t="str">
        <f>IF(L22="","",IF(L22&gt;=0.8,"충족","미달"))</f>
        <v/>
      </c>
      <c r="T22" s="24" t="str">
        <f>IF(OR(D22="",L22=""),"",1.96*SQRT(L22*(1-L22)/D22)*100)</f>
        <v/>
      </c>
      <c r="U22" s="5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3" t="str">
        <f>IF(L23="","",IF(L23&gt;=0.8,"충족","미달"))</f>
        <v/>
      </c>
      <c r="T23" s="24" t="str">
        <f>IF(OR(D23="",L23=""),"",1.96*SQRT(L23*(1-L23)/D23)*100)</f>
        <v/>
      </c>
      <c r="U23" s="5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3" t="str">
        <f>IF(L24="","",IF(L24&gt;=0.8,"충족","미달"))</f>
        <v/>
      </c>
      <c r="T24" s="24" t="str">
        <f>IF(OR(D24="",L24=""),"",1.96*SQRT(L24*(1-L24)/D24)*100)</f>
        <v/>
      </c>
      <c r="U24" s="5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3" t="str">
        <f>IF(L25="","",IF(L25&gt;=0.8,"충족","미달"))</f>
        <v/>
      </c>
      <c r="T25" s="24" t="str">
        <f>IF(OR(D25="",L25=""),"",1.96*SQRT(L25*(1-L25)/D25)*100)</f>
        <v/>
      </c>
      <c r="U25" s="5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3" t="str">
        <f>IF(L26="","",IF(L26&gt;=0.8,"충족","미달"))</f>
        <v/>
      </c>
      <c r="T26" s="24" t="str">
        <f>IF(OR(D26="",L26=""),"",1.96*SQRT(L26*(1-L26)/D26)*100)</f>
        <v/>
      </c>
      <c r="U26" s="5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3" t="str">
        <f>IF(L27="","",IF(L27&gt;=0.8,"충족","미달"))</f>
        <v/>
      </c>
      <c r="T27" s="24" t="str">
        <f>IF(OR(D27="",L27=""),"",1.96*SQRT(L27*(1-L27)/D27)*100)</f>
        <v/>
      </c>
      <c r="U27" s="5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3" t="str">
        <f>IF(L28="","",IF(L28&gt;=0.8,"충족","미달"))</f>
        <v/>
      </c>
      <c r="T28" s="24" t="str">
        <f>IF(OR(D28="",L28=""),"",1.96*SQRT(L28*(1-L28)/D28)*100)</f>
        <v/>
      </c>
      <c r="U28" s="5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3" t="str">
        <f>IF(L29="","",IF(L29&gt;=0.8,"충족","미달"))</f>
        <v/>
      </c>
      <c r="T29" s="24" t="str">
        <f>IF(OR(D29="",L29=""),"",1.96*SQRT(L29*(1-L29)/D29)*100)</f>
        <v/>
      </c>
      <c r="U29" s="5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3" t="str">
        <f>IF(L30="","",IF(L30&gt;=0.8,"충족","미달"))</f>
        <v/>
      </c>
      <c r="T30" s="24" t="str">
        <f>IF(OR(D30="",L30=""),"",1.96*SQRT(L30*(1-L30)/D30)*100)</f>
        <v/>
      </c>
      <c r="U30" s="5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3" t="str">
        <f>IF(L31="","",IF(L31&gt;=0.8,"충족","미달"))</f>
        <v/>
      </c>
      <c r="T31" s="24" t="str">
        <f>IF(OR(D31="",L31=""),"",1.96*SQRT(L31*(1-L31)/D31)*100)</f>
        <v/>
      </c>
      <c r="U31" s="5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3" t="str">
        <f>IF(L32="","",IF(L32&gt;=0.8,"충족","미달"))</f>
        <v/>
      </c>
      <c r="T32" s="24" t="str">
        <f>IF(OR(D32="",L32=""),"",1.96*SQRT(L32*(1-L32)/D32)*100)</f>
        <v/>
      </c>
      <c r="U32" s="5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3" t="str">
        <f>IF(L33="","",IF(L33&gt;=0.8,"충족","미달"))</f>
        <v/>
      </c>
      <c r="T33" s="24" t="str">
        <f>IF(OR(D33="",L33=""),"",1.96*SQRT(L33*(1-L33)/D33)*100)</f>
        <v/>
      </c>
      <c r="U33" s="5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3" t="str">
        <f>IF(L34="","",IF(L34&gt;=0.8,"충족","미달"))</f>
        <v/>
      </c>
      <c r="T34" s="24" t="str">
        <f>IF(OR(D34="",L34=""),"",1.96*SQRT(L34*(1-L34)/D34)*100)</f>
        <v/>
      </c>
      <c r="U34" s="5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3" t="str">
        <f>IF(L35="","",IF(L35&gt;=0.8,"충족","미달"))</f>
        <v/>
      </c>
      <c r="T35" s="24" t="str">
        <f>IF(OR(D35="",L35=""),"",1.96*SQRT(L35*(1-L35)/D35)*100)</f>
        <v/>
      </c>
      <c r="U35" s="5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3" t="str">
        <f>IF(L36="","",IF(L36&gt;=0.8,"충족","미달"))</f>
        <v/>
      </c>
      <c r="T36" s="24" t="str">
        <f>IF(OR(D36="",L36=""),"",1.96*SQRT(L36*(1-L36)/D36)*100)</f>
        <v/>
      </c>
      <c r="U36" s="5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3" t="str">
        <f>IF(L37="","",IF(L37&gt;=0.8,"충족","미달"))</f>
        <v/>
      </c>
      <c r="T37" s="24" t="str">
        <f>IF(OR(D37="",L37=""),"",1.96*SQRT(L37*(1-L37)/D37)*100)</f>
        <v/>
      </c>
      <c r="U37" s="5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3" t="str">
        <f>IF(L38="","",IF(L38&gt;=0.8,"충족","미달"))</f>
        <v/>
      </c>
      <c r="T38" s="24" t="str">
        <f>IF(OR(D38="",L38=""),"",1.96*SQRT(L38*(1-L38)/D38)*100)</f>
        <v/>
      </c>
      <c r="U38" s="5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3" t="str">
        <f>IF(L39="","",IF(L39&gt;=0.8,"충족","미달"))</f>
        <v/>
      </c>
      <c r="T39" s="24" t="str">
        <f>IF(OR(D39="",L39=""),"",1.96*SQRT(L39*(1-L39)/D39)*100)</f>
        <v/>
      </c>
      <c r="U39" s="5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3" t="str">
        <f>IF(L40="","",IF(L40&gt;=0.8,"충족","미달"))</f>
        <v/>
      </c>
      <c r="T40" s="24" t="str">
        <f>IF(OR(D40="",L40=""),"",1.96*SQRT(L40*(1-L40)/D40)*100)</f>
        <v/>
      </c>
      <c r="U40" s="5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3" t="str">
        <f>IF(L41="","",IF(L41&gt;=0.8,"충족","미달"))</f>
        <v/>
      </c>
      <c r="T41" s="24" t="str">
        <f>IF(OR(D41="",L41=""),"",1.96*SQRT(L41*(1-L41)/D41)*100)</f>
        <v/>
      </c>
      <c r="U41" s="5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3" t="str">
        <f>IF(L42="","",IF(L42&gt;=0.8,"충족","미달"))</f>
        <v/>
      </c>
      <c r="T42" s="24" t="str">
        <f>IF(OR(D42="",L42=""),"",1.96*SQRT(L42*(1-L42)/D42)*100)</f>
        <v/>
      </c>
      <c r="U42" s="5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3" t="str">
        <f>IF(L43="","",IF(L43&gt;=0.8,"충족","미달"))</f>
        <v/>
      </c>
      <c r="T43" s="24" t="str">
        <f>IF(OR(D43="",L43=""),"",1.96*SQRT(L43*(1-L43)/D43)*100)</f>
        <v/>
      </c>
      <c r="U43" s="5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3" t="str">
        <f>IF(L44="","",IF(L44&gt;=0.8,"충족","미달"))</f>
        <v/>
      </c>
      <c r="T44" s="24" t="str">
        <f>IF(OR(D44="",L44=""),"",1.96*SQRT(L44*(1-L44)/D44)*100)</f>
        <v/>
      </c>
      <c r="U44" s="5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3" t="str">
        <f>IF(L45="","",IF(L45&gt;=0.8,"충족","미달"))</f>
        <v/>
      </c>
      <c r="T45" s="24" t="str">
        <f>IF(OR(D45="",L45=""),"",1.96*SQRT(L45*(1-L45)/D45)*100)</f>
        <v/>
      </c>
      <c r="U45" s="5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3" t="str">
        <f>IF(L46="","",IF(L46&gt;=0.8,"충족","미달"))</f>
        <v/>
      </c>
      <c r="T46" s="24" t="str">
        <f>IF(OR(D46="",L46=""),"",1.96*SQRT(L46*(1-L46)/D46)*100)</f>
        <v/>
      </c>
      <c r="U46" s="5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3" t="str">
        <f>IF(L47="","",IF(L47&gt;=0.8,"충족","미달"))</f>
        <v/>
      </c>
      <c r="T47" s="24" t="str">
        <f>IF(OR(D47="",L47=""),"",1.96*SQRT(L47*(1-L47)/D47)*100)</f>
        <v/>
      </c>
      <c r="U47" s="5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3" t="str">
        <f>IF(L48="","",IF(L48&gt;=0.8,"충족","미달"))</f>
        <v/>
      </c>
      <c r="T48" s="24" t="str">
        <f>IF(OR(D48="",L48=""),"",1.96*SQRT(L48*(1-L48)/D48)*100)</f>
        <v/>
      </c>
      <c r="U48" s="5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3" t="str">
        <f>IF(L49="","",IF(L49&gt;=0.8,"충족","미달"))</f>
        <v/>
      </c>
      <c r="T49" s="24" t="str">
        <f>IF(OR(D49="",L49=""),"",1.96*SQRT(L49*(1-L49)/D49)*100)</f>
        <v/>
      </c>
      <c r="U49" s="5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3" t="str">
        <f>IF(L50="","",IF(L50&gt;=0.8,"충족","미달"))</f>
        <v/>
      </c>
      <c r="T50" s="24" t="str">
        <f>IF(OR(D50="",L50=""),"",1.96*SQRT(L50*(1-L50)/D50)*100)</f>
        <v/>
      </c>
      <c r="U50" s="5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3" t="str">
        <f>IF(L51="","",IF(L51&gt;=0.8,"충족","미달"))</f>
        <v/>
      </c>
      <c r="T51" s="24" t="str">
        <f>IF(OR(D51="",L51=""),"",1.96*SQRT(L51*(1-L51)/D51)*100)</f>
        <v/>
      </c>
      <c r="U51" s="5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3" t="str">
        <f>IF(L52="","",IF(L52&gt;=0.8,"충족","미달"))</f>
        <v/>
      </c>
      <c r="T52" s="24" t="str">
        <f>IF(OR(D52="",L52=""),"",1.96*SQRT(L52*(1-L52)/D52)*100)</f>
        <v/>
      </c>
      <c r="U52" s="5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3" t="str">
        <f>IF(L53="","",IF(L53&gt;=0.8,"충족","미달"))</f>
        <v/>
      </c>
      <c r="T53" s="24" t="str">
        <f>IF(OR(D53="",L53=""),"",1.96*SQRT(L53*(1-L53)/D53)*100)</f>
        <v/>
      </c>
      <c r="U53" s="5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3" t="str">
        <f>IF(L54="","",IF(L54&gt;=0.8,"충족","미달"))</f>
        <v/>
      </c>
      <c r="T54" s="24" t="str">
        <f>IF(OR(D54="",L54=""),"",1.96*SQRT(L54*(1-L54)/D54)*100)</f>
        <v/>
      </c>
      <c r="U54" s="5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3" t="str">
        <f>IF(L55="","",IF(L55&gt;=0.8,"충족","미달"))</f>
        <v/>
      </c>
      <c r="T55" s="24" t="str">
        <f>IF(OR(D55="",L55=""),"",1.96*SQRT(L55*(1-L55)/D55)*100)</f>
        <v/>
      </c>
      <c r="U55" s="5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3" t="str">
        <f>IF(L56="","",IF(L56&gt;=0.8,"충족","미달"))</f>
        <v/>
      </c>
      <c r="T56" s="24" t="str">
        <f>IF(OR(D56="",L56=""),"",1.96*SQRT(L56*(1-L56)/D56)*100)</f>
        <v/>
      </c>
      <c r="U56" s="5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3" t="str">
        <f>IF(L57="","",IF(L57&gt;=0.8,"충족","미달"))</f>
        <v/>
      </c>
      <c r="T57" s="24" t="str">
        <f>IF(OR(D57="",L57=""),"",1.96*SQRT(L57*(1-L57)/D57)*100)</f>
        <v/>
      </c>
      <c r="U57" s="5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3" t="str">
        <f>IF(L58="","",IF(L58&gt;=0.8,"충족","미달"))</f>
        <v/>
      </c>
      <c r="T58" s="24" t="str">
        <f>IF(OR(D58="",L58=""),"",1.96*SQRT(L58*(1-L58)/D58)*100)</f>
        <v/>
      </c>
      <c r="U58" s="5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3" t="str">
        <f>IF(L59="","",IF(L59&gt;=0.8,"충족","미달"))</f>
        <v/>
      </c>
      <c r="T59" s="24" t="str">
        <f>IF(OR(D59="",L59=""),"",1.96*SQRT(L59*(1-L59)/D59)*100)</f>
        <v/>
      </c>
      <c r="U59" s="5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3" t="str">
        <f>IF(L60="","",IF(L60&gt;=0.8,"충족","미달"))</f>
        <v/>
      </c>
      <c r="T60" s="24" t="str">
        <f>IF(OR(D60="",L60=""),"",1.96*SQRT(L60*(1-L60)/D60)*100)</f>
        <v/>
      </c>
      <c r="U60" s="5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3" t="str">
        <f>IF(L61="","",IF(L61&gt;=0.8,"충족","미달"))</f>
        <v/>
      </c>
      <c r="T61" s="24" t="str">
        <f>IF(OR(D61="",L61=""),"",1.96*SQRT(L61*(1-L61)/D61)*100)</f>
        <v/>
      </c>
      <c r="U61" s="5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3" t="str">
        <f>IF(L62="","",IF(L62&gt;=0.8,"충족","미달"))</f>
        <v/>
      </c>
      <c r="T62" s="24" t="str">
        <f>IF(OR(D62="",L62=""),"",1.96*SQRT(L62*(1-L62)/D62)*100)</f>
        <v/>
      </c>
      <c r="U62" s="5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3" t="str">
        <f>IF(L63="","",IF(L63&gt;=0.8,"충족","미달"))</f>
        <v/>
      </c>
      <c r="T63" s="24" t="str">
        <f>IF(OR(D63="",L63=""),"",1.96*SQRT(L63*(1-L63)/D63)*100)</f>
        <v/>
      </c>
      <c r="U63" s="5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3" t="str">
        <f>IF(L64="","",IF(L64&gt;=0.8,"충족","미달"))</f>
        <v/>
      </c>
      <c r="T64" s="24" t="str">
        <f>IF(OR(D64="",L64=""),"",1.96*SQRT(L64*(1-L64)/D64)*100)</f>
        <v/>
      </c>
      <c r="U64" s="5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3" t="str">
        <f>IF(L65="","",IF(L65&gt;=0.8,"충족","미달"))</f>
        <v/>
      </c>
      <c r="T65" s="24" t="str">
        <f>IF(OR(D65="",L65=""),"",1.96*SQRT(L65*(1-L65)/D65)*100)</f>
        <v/>
      </c>
      <c r="U65" s="5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3" t="str">
        <f>IF(L66="","",IF(L66&gt;=0.8,"충족","미달"))</f>
        <v/>
      </c>
      <c r="T66" s="24" t="str">
        <f>IF(OR(D66="",L66=""),"",1.96*SQRT(L66*(1-L66)/D66)*100)</f>
        <v/>
      </c>
      <c r="U66" s="5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3" t="str">
        <f>IF(L67="","",IF(L67&gt;=0.8,"충족","미달"))</f>
        <v/>
      </c>
      <c r="T67" s="24" t="str">
        <f>IF(OR(D67="",L67=""),"",1.96*SQRT(L67*(1-L67)/D67)*100)</f>
        <v/>
      </c>
      <c r="U67" s="5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3" t="str">
        <f>IF(L68="","",IF(L68&gt;=0.8,"충족","미달"))</f>
        <v/>
      </c>
      <c r="T68" s="24" t="str">
        <f>IF(OR(D68="",L68=""),"",1.96*SQRT(L68*(1-L68)/D68)*100)</f>
        <v/>
      </c>
      <c r="U68" s="5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3" t="str">
        <f>IF(L69="","",IF(L69&gt;=0.8,"충족","미달"))</f>
        <v/>
      </c>
      <c r="T69" s="24" t="str">
        <f>IF(OR(D69="",L69=""),"",1.96*SQRT(L69*(1-L69)/D69)*100)</f>
        <v/>
      </c>
      <c r="U69" s="5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3" t="str">
        <f>IF(L70="","",IF(L70&gt;=0.8,"충족","미달"))</f>
        <v/>
      </c>
      <c r="T70" s="24" t="str">
        <f>IF(OR(D70="",L70=""),"",1.96*SQRT(L70*(1-L70)/D70)*100)</f>
        <v/>
      </c>
      <c r="U70" s="5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3" t="str">
        <f>IF(L71="","",IF(L71&gt;=0.8,"충족","미달"))</f>
        <v/>
      </c>
      <c r="T71" s="24" t="str">
        <f>IF(OR(D71="",L71=""),"",1.96*SQRT(L71*(1-L71)/D71)*100)</f>
        <v/>
      </c>
      <c r="U71" s="5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3" t="str">
        <f>IF(L72="","",IF(L72&gt;=0.8,"충족","미달"))</f>
        <v/>
      </c>
      <c r="T72" s="24" t="str">
        <f>IF(OR(D72="",L72=""),"",1.96*SQRT(L72*(1-L72)/D72)*100)</f>
        <v/>
      </c>
      <c r="U72" s="5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3" t="str">
        <f>IF(L73="","",IF(L73&gt;=0.8,"충족","미달"))</f>
        <v/>
      </c>
      <c r="T73" s="24" t="str">
        <f>IF(OR(D73="",L73=""),"",1.96*SQRT(L73*(1-L73)/D73)*100)</f>
        <v/>
      </c>
      <c r="U73" s="5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3" t="str">
        <f>IF(L74="","",IF(L74&gt;=0.8,"충족","미달"))</f>
        <v/>
      </c>
      <c r="T74" s="24" t="str">
        <f>IF(OR(D74="",L74=""),"",1.96*SQRT(L74*(1-L74)/D74)*100)</f>
        <v/>
      </c>
      <c r="U74" s="5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3" t="str">
        <f>IF(L75="","",IF(L75&gt;=0.8,"충족","미달"))</f>
        <v/>
      </c>
      <c r="T75" s="24" t="str">
        <f>IF(OR(D75="",L75=""),"",1.96*SQRT(L75*(1-L75)/D75)*100)</f>
        <v/>
      </c>
      <c r="U75" s="5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3" t="str">
        <f>IF(L76="","",IF(L76&gt;=0.8,"충족","미달"))</f>
        <v/>
      </c>
      <c r="T76" s="24" t="str">
        <f>IF(OR(D76="",L76=""),"",1.96*SQRT(L76*(1-L76)/D76)*100)</f>
        <v/>
      </c>
      <c r="U76" s="5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3" t="str">
        <f>IF(L77="","",IF(L77&gt;=0.8,"충족","미달"))</f>
        <v/>
      </c>
      <c r="T77" s="24" t="str">
        <f>IF(OR(D77="",L77=""),"",1.96*SQRT(L77*(1-L77)/D77)*100)</f>
        <v/>
      </c>
      <c r="U77" s="5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3" t="str">
        <f>IF(L78="","",IF(L78&gt;=0.8,"충족","미달"))</f>
        <v/>
      </c>
      <c r="T78" s="24" t="str">
        <f>IF(OR(D78="",L78=""),"",1.96*SQRT(L78*(1-L78)/D78)*100)</f>
        <v/>
      </c>
      <c r="U78" s="5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3" t="str">
        <f>IF(L79="","",IF(L79&gt;=0.8,"충족","미달"))</f>
        <v/>
      </c>
      <c r="T79" s="24" t="str">
        <f>IF(OR(D79="",L79=""),"",1.96*SQRT(L79*(1-L79)/D79)*100)</f>
        <v/>
      </c>
      <c r="U79" s="5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3" t="str">
        <f>IF(L80="","",IF(L80&gt;=0.8,"충족","미달"))</f>
        <v/>
      </c>
      <c r="T80" s="24" t="str">
        <f>IF(OR(D80="",L80=""),"",1.96*SQRT(L80*(1-L80)/D80)*100)</f>
        <v/>
      </c>
      <c r="U80" s="5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3" t="str">
        <f>IF(L81="","",IF(L81&gt;=0.8,"충족","미달"))</f>
        <v/>
      </c>
      <c r="T81" s="24" t="str">
        <f>IF(OR(D81="",L81=""),"",1.96*SQRT(L81*(1-L81)/D81)*100)</f>
        <v/>
      </c>
      <c r="U81" s="5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3" t="str">
        <f>IF(L82="","",IF(L82&gt;=0.8,"충족","미달"))</f>
        <v/>
      </c>
      <c r="T82" s="24" t="str">
        <f>IF(OR(D82="",L82=""),"",1.96*SQRT(L82*(1-L82)/D82)*100)</f>
        <v/>
      </c>
      <c r="U82" s="5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3" t="str">
        <f>IF(L83="","",IF(L83&gt;=0.8,"충족","미달"))</f>
        <v/>
      </c>
      <c r="T83" s="24" t="str">
        <f>IF(OR(D83="",L83=""),"",1.96*SQRT(L83*(1-L83)/D83)*100)</f>
        <v/>
      </c>
      <c r="U83" s="5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3" t="str">
        <f>IF(L84="","",IF(L84&gt;=0.8,"충족","미달"))</f>
        <v/>
      </c>
      <c r="T84" s="24" t="str">
        <f>IF(OR(D84="",L84=""),"",1.96*SQRT(L84*(1-L84)/D84)*100)</f>
        <v/>
      </c>
      <c r="U84" s="5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3" t="str">
        <f>IF(L85="","",IF(L85&gt;=0.8,"충족","미달"))</f>
        <v/>
      </c>
      <c r="T85" s="24" t="str">
        <f>IF(OR(D85="",L85=""),"",1.96*SQRT(L85*(1-L85)/D85)*100)</f>
        <v/>
      </c>
      <c r="U85" s="5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3" t="str">
        <f>IF(L86="","",IF(L86&gt;=0.8,"충족","미달"))</f>
        <v/>
      </c>
      <c r="T86" s="24" t="str">
        <f>IF(OR(D86="",L86=""),"",1.96*SQRT(L86*(1-L86)/D86)*100)</f>
        <v/>
      </c>
      <c r="U86" s="5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3" t="str">
        <f>IF(L87="","",IF(L87&gt;=0.8,"충족","미달"))</f>
        <v/>
      </c>
      <c r="T87" s="24" t="str">
        <f>IF(OR(D87="",L87=""),"",1.96*SQRT(L87*(1-L87)/D87)*100)</f>
        <v/>
      </c>
      <c r="U87" s="5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3" t="str">
        <f>IF(L88="","",IF(L88&gt;=0.8,"충족","미달"))</f>
        <v/>
      </c>
      <c r="T88" s="24" t="str">
        <f>IF(OR(D88="",L88=""),"",1.96*SQRT(L88*(1-L88)/D88)*100)</f>
        <v/>
      </c>
      <c r="U88" s="5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3" t="str">
        <f>IF(L89="","",IF(L89&gt;=0.8,"충족","미달"))</f>
        <v/>
      </c>
      <c r="T89" s="24" t="str">
        <f>IF(OR(D89="",L89=""),"",1.96*SQRT(L89*(1-L89)/D89)*100)</f>
        <v/>
      </c>
      <c r="U89" s="5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3" t="str">
        <f>IF(L90="","",IF(L90&gt;=0.8,"충족","미달"))</f>
        <v/>
      </c>
      <c r="T90" s="24" t="str">
        <f>IF(OR(D90="",L90=""),"",1.96*SQRT(L90*(1-L90)/D90)*100)</f>
        <v/>
      </c>
      <c r="U90" s="5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3" t="str">
        <f>IF(L91="","",IF(L91&gt;=0.8,"충족","미달"))</f>
        <v/>
      </c>
      <c r="T91" s="24" t="str">
        <f>IF(OR(D91="",L91=""),"",1.96*SQRT(L91*(1-L91)/D91)*100)</f>
        <v/>
      </c>
      <c r="U91" s="5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3" t="str">
        <f>IF(L92="","",IF(L92&gt;=0.8,"충족","미달"))</f>
        <v/>
      </c>
      <c r="T92" s="24" t="str">
        <f>IF(OR(D92="",L92=""),"",1.96*SQRT(L92*(1-L92)/D92)*100)</f>
        <v/>
      </c>
      <c r="U92" s="5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3" t="str">
        <f>IF(L93="","",IF(L93&gt;=0.8,"충족","미달"))</f>
        <v/>
      </c>
      <c r="T93" s="24" t="str">
        <f>IF(OR(D93="",L93=""),"",1.96*SQRT(L93*(1-L93)/D93)*100)</f>
        <v/>
      </c>
      <c r="U93" s="5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3" t="str">
        <f>IF(L94="","",IF(L94&gt;=0.8,"충족","미달"))</f>
        <v/>
      </c>
      <c r="T94" s="24" t="str">
        <f>IF(OR(D94="",L94=""),"",1.96*SQRT(L94*(1-L94)/D94)*100)</f>
        <v/>
      </c>
      <c r="U94" s="5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3" t="str">
        <f>IF(L95="","",IF(L95&gt;=0.8,"충족","미달"))</f>
        <v/>
      </c>
      <c r="T95" s="24" t="str">
        <f>IF(OR(D95="",L95=""),"",1.96*SQRT(L95*(1-L95)/D95)*100)</f>
        <v/>
      </c>
      <c r="U95" s="5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3" t="str">
        <f>IF(L96="","",IF(L96&gt;=0.8,"충족","미달"))</f>
        <v/>
      </c>
      <c r="T96" s="24" t="str">
        <f>IF(OR(D96="",L96=""),"",1.96*SQRT(L96*(1-L96)/D96)*100)</f>
        <v/>
      </c>
      <c r="U96" s="5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3" t="str">
        <f>IF(L97="","",IF(L97&gt;=0.8,"충족","미달"))</f>
        <v/>
      </c>
      <c r="T97" s="24" t="str">
        <f>IF(OR(D97="",L97=""),"",1.96*SQRT(L97*(1-L97)/D97)*100)</f>
        <v/>
      </c>
      <c r="U97" s="5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3" t="str">
        <f>IF(L98="","",IF(L98&gt;=0.8,"충족","미달"))</f>
        <v/>
      </c>
      <c r="T98" s="24" t="str">
        <f>IF(OR(D98="",L98=""),"",1.96*SQRT(L98*(1-L98)/D98)*100)</f>
        <v/>
      </c>
      <c r="U98" s="5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3" t="str">
        <f>IF(L99="","",IF(L99&gt;=0.8,"충족","미달"))</f>
        <v/>
      </c>
      <c r="T99" s="24" t="str">
        <f>IF(OR(D99="",L99=""),"",1.96*SQRT(L99*(1-L99)/D99)*100)</f>
        <v/>
      </c>
      <c r="U99" s="5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3" t="str">
        <f>IF(L100="","",IF(L100&gt;=0.8,"충족","미달"))</f>
        <v/>
      </c>
      <c r="T100" s="24" t="str">
        <f>IF(OR(D100="",L100=""),"",1.96*SQRT(L100*(1-L100)/D100)*100)</f>
        <v/>
      </c>
      <c r="U100" s="5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3" t="str">
        <f>IF(L101="","",IF(L101&gt;=0.8,"충족","미달"))</f>
        <v/>
      </c>
      <c r="T101" s="24" t="str">
        <f>IF(OR(D101="",L101=""),"",1.96*SQRT(L101*(1-L101)/D101)*100)</f>
        <v/>
      </c>
      <c r="U101" s="5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3" t="str">
        <f>IF(L102="","",IF(L102&gt;=0.8,"충족","미달"))</f>
        <v/>
      </c>
      <c r="T102" s="24" t="str">
        <f>IF(OR(D102="",L102=""),"",1.96*SQRT(L102*(1-L102)/D102)*100)</f>
        <v/>
      </c>
      <c r="U102" s="5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3" t="str">
        <f>IF(L103="","",IF(L103&gt;=0.8,"충족","미달"))</f>
        <v/>
      </c>
      <c r="T103" s="24" t="str">
        <f>IF(OR(D103="",L103=""),"",1.96*SQRT(L103*(1-L103)/D103)*100)</f>
        <v/>
      </c>
      <c r="U103" s="5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3" t="str">
        <f>IF(L104="","",IF(L104&gt;=0.8,"충족","미달"))</f>
        <v/>
      </c>
      <c r="T104" s="24" t="str">
        <f>IF(OR(D104="",L104=""),"",1.96*SQRT(L104*(1-L104)/D104)*100)</f>
        <v/>
      </c>
      <c r="U104" s="5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3" t="str">
        <f>IF(L105="","",IF(L105&gt;=0.8,"충족","미달"))</f>
        <v/>
      </c>
      <c r="T105" s="24" t="str">
        <f>IF(OR(D105="",L105=""),"",1.96*SQRT(L105*(1-L105)/D105)*100)</f>
        <v/>
      </c>
      <c r="U105" s="5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3" t="str">
        <f>IF(L106="","",IF(L106&gt;=0.8,"충족","미달"))</f>
        <v/>
      </c>
      <c r="T106" s="24" t="str">
        <f>IF(OR(D106="",L106=""),"",1.96*SQRT(L106*(1-L106)/D106)*100)</f>
        <v/>
      </c>
      <c r="U106" s="5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3" t="str">
        <f>IF(L107="","",IF(L107&gt;=0.8,"충족","미달"))</f>
        <v/>
      </c>
      <c r="T107" s="24" t="str">
        <f>IF(OR(D107="",L107=""),"",1.96*SQRT(L107*(1-L107)/D107)*100)</f>
        <v/>
      </c>
      <c r="U107" s="5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3" t="str">
        <f>IF(L108="","",IF(L108&gt;=0.8,"충족","미달"))</f>
        <v/>
      </c>
      <c r="T108" s="24" t="str">
        <f>IF(OR(D108="",L108=""),"",1.96*SQRT(L108*(1-L108)/D108)*100)</f>
        <v/>
      </c>
      <c r="U108" s="5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3" t="str">
        <f>IF(L109="","",IF(L109&gt;=0.8,"충족","미달"))</f>
        <v/>
      </c>
      <c r="T109" s="24" t="str">
        <f>IF(OR(D109="",L109=""),"",1.96*SQRT(L109*(1-L109)/D109)*100)</f>
        <v/>
      </c>
      <c r="U109" s="5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3" t="str">
        <f>IF(L110="","",IF(L110&gt;=0.8,"충족","미달"))</f>
        <v/>
      </c>
      <c r="T110" s="24" t="str">
        <f>IF(OR(D110="",L110=""),"",1.96*SQRT(L110*(1-L110)/D110)*100)</f>
        <v/>
      </c>
      <c r="U110" s="5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3" t="str">
        <f>IF(L111="","",IF(L111&gt;=0.8,"충족","미달"))</f>
        <v/>
      </c>
      <c r="T111" s="24" t="str">
        <f>IF(OR(D111="",L111=""),"",1.96*SQRT(L111*(1-L111)/D111)*100)</f>
        <v/>
      </c>
      <c r="U111" s="5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3" t="str">
        <f>IF(L112="","",IF(L112&gt;=0.8,"충족","미달"))</f>
        <v/>
      </c>
      <c r="T112" s="24" t="str">
        <f>IF(OR(D112="",L112=""),"",1.96*SQRT(L112*(1-L112)/D112)*100)</f>
        <v/>
      </c>
      <c r="U112" s="5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3" t="str">
        <f>IF(L113="","",IF(L113&gt;=0.8,"충족","미달"))</f>
        <v/>
      </c>
      <c r="T113" s="24" t="str">
        <f>IF(OR(D113="",L113=""),"",1.96*SQRT(L113*(1-L113)/D113)*100)</f>
        <v/>
      </c>
      <c r="U113" s="5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3" t="str">
        <f>IF(L114="","",IF(L114&gt;=0.8,"충족","미달"))</f>
        <v/>
      </c>
      <c r="T114" s="24" t="str">
        <f>IF(OR(D114="",L114=""),"",1.96*SQRT(L114*(1-L114)/D114)*100)</f>
        <v/>
      </c>
      <c r="U114" s="5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3" t="str">
        <f>IF(L115="","",IF(L115&gt;=0.8,"충족","미달"))</f>
        <v/>
      </c>
      <c r="T115" s="24" t="str">
        <f>IF(OR(D115="",L115=""),"",1.96*SQRT(L115*(1-L115)/D115)*100)</f>
        <v/>
      </c>
      <c r="U115" s="5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3" t="str">
        <f>IF(L116="","",IF(L116&gt;=0.8,"충족","미달"))</f>
        <v/>
      </c>
      <c r="T116" s="24" t="str">
        <f>IF(OR(D116="",L116=""),"",1.96*SQRT(L116*(1-L116)/D116)*100)</f>
        <v/>
      </c>
      <c r="U116" s="5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3" t="str">
        <f>IF(L117="","",IF(L117&gt;=0.8,"충족","미달"))</f>
        <v/>
      </c>
      <c r="T117" s="24" t="str">
        <f>IF(OR(D117="",L117=""),"",1.96*SQRT(L117*(1-L117)/D117)*100)</f>
        <v/>
      </c>
      <c r="U117" s="5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3" t="str">
        <f>IF(L118="","",IF(L118&gt;=0.8,"충족","미달"))</f>
        <v/>
      </c>
      <c r="T118" s="24" t="str">
        <f>IF(OR(D118="",L118=""),"",1.96*SQRT(L118*(1-L118)/D118)*100)</f>
        <v/>
      </c>
      <c r="U118" s="5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3" t="str">
        <f>IF(L119="","",IF(L119&gt;=0.8,"충족","미달"))</f>
        <v/>
      </c>
      <c r="T119" s="24" t="str">
        <f>IF(OR(D119="",L119=""),"",1.96*SQRT(L119*(1-L119)/D119)*100)</f>
        <v/>
      </c>
      <c r="U119" s="5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3" t="str">
        <f>IF(L120="","",IF(L120&gt;=0.8,"충족","미달"))</f>
        <v/>
      </c>
      <c r="T120" s="24" t="str">
        <f>IF(OR(D120="",L120=""),"",1.96*SQRT(L120*(1-L120)/D120)*100)</f>
        <v/>
      </c>
      <c r="U120" s="5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3" t="str">
        <f>IF(L121="","",IF(L121&gt;=0.8,"충족","미달"))</f>
        <v/>
      </c>
      <c r="T121" s="24" t="str">
        <f>IF(OR(D121="",L121=""),"",1.96*SQRT(L121*(1-L121)/D121)*100)</f>
        <v/>
      </c>
      <c r="U121" s="5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3" t="str">
        <f>IF(L122="","",IF(L122&gt;=0.8,"충족","미달"))</f>
        <v/>
      </c>
      <c r="T122" s="24" t="str">
        <f>IF(OR(D122="",L122=""),"",1.96*SQRT(L122*(1-L122)/D122)*100)</f>
        <v/>
      </c>
      <c r="U122" s="5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3" t="str">
        <f>IF(L123="","",IF(L123&gt;=0.8,"충족","미달"))</f>
        <v/>
      </c>
      <c r="T123" s="24" t="str">
        <f>IF(OR(D123="",L123=""),"",1.96*SQRT(L123*(1-L123)/D123)*100)</f>
        <v/>
      </c>
      <c r="U123" s="5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3" t="str">
        <f>IF(L124="","",IF(L124&gt;=0.8,"충족","미달"))</f>
        <v/>
      </c>
      <c r="T124" s="24" t="str">
        <f>IF(OR(D124="",L124=""),"",1.96*SQRT(L124*(1-L124)/D124)*100)</f>
        <v/>
      </c>
      <c r="U124" s="5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3" t="str">
        <f>IF(L125="","",IF(L125&gt;=0.8,"충족","미달"))</f>
        <v/>
      </c>
      <c r="T125" s="24" t="str">
        <f>IF(OR(D125="",L125=""),"",1.96*SQRT(L125*(1-L125)/D125)*100)</f>
        <v/>
      </c>
      <c r="U125" s="5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3" t="str">
        <f>IF(L126="","",IF(L126&gt;=0.8,"충족","미달"))</f>
        <v/>
      </c>
      <c r="T126" s="24" t="str">
        <f>IF(OR(D126="",L126=""),"",1.96*SQRT(L126*(1-L126)/D126)*100)</f>
        <v/>
      </c>
      <c r="U126" s="5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3" t="str">
        <f>IF(L127="","",IF(L127&gt;=0.8,"충족","미달"))</f>
        <v/>
      </c>
      <c r="T127" s="24" t="str">
        <f>IF(OR(D127="",L127=""),"",1.96*SQRT(L127*(1-L127)/D127)*100)</f>
        <v/>
      </c>
      <c r="U127" s="5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3" t="str">
        <f>IF(L128="","",IF(L128&gt;=0.8,"충족","미달"))</f>
        <v/>
      </c>
      <c r="T128" s="24" t="str">
        <f>IF(OR(D128="",L128=""),"",1.96*SQRT(L128*(1-L128)/D128)*100)</f>
        <v/>
      </c>
      <c r="U128" s="5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3" t="str">
        <f>IF(L129="","",IF(L129&gt;=0.8,"충족","미달"))</f>
        <v/>
      </c>
      <c r="T129" s="24" t="str">
        <f>IF(OR(D129="",L129=""),"",1.96*SQRT(L129*(1-L129)/D129)*100)</f>
        <v/>
      </c>
      <c r="U129" s="5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3" t="str">
        <f>IF(L130="","",IF(L130&gt;=0.8,"충족","미달"))</f>
        <v/>
      </c>
      <c r="T130" s="24" t="str">
        <f>IF(OR(D130="",L130=""),"",1.96*SQRT(L130*(1-L130)/D130)*100)</f>
        <v/>
      </c>
      <c r="U130" s="5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3" t="str">
        <f>IF(L131="","",IF(L131&gt;=0.8,"충족","미달"))</f>
        <v/>
      </c>
      <c r="T131" s="24" t="str">
        <f>IF(OR(D131="",L131=""),"",1.96*SQRT(L131*(1-L131)/D131)*100)</f>
        <v/>
      </c>
      <c r="U131" s="5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3" t="str">
        <f>IF(L132="","",IF(L132&gt;=0.8,"충족","미달"))</f>
        <v/>
      </c>
      <c r="T132" s="24" t="str">
        <f>IF(OR(D132="",L132=""),"",1.96*SQRT(L132*(1-L132)/D132)*100)</f>
        <v/>
      </c>
      <c r="U132" s="5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3" t="str">
        <f>IF(L133="","",IF(L133&gt;=0.8,"충족","미달"))</f>
        <v/>
      </c>
      <c r="T133" s="24" t="str">
        <f>IF(OR(D133="",L133=""),"",1.96*SQRT(L133*(1-L133)/D133)*100)</f>
        <v/>
      </c>
      <c r="U133" s="5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3" t="str">
        <f>IF(L134="","",IF(L134&gt;=0.8,"충족","미달"))</f>
        <v/>
      </c>
      <c r="T134" s="24" t="str">
        <f>IF(OR(D134="",L134=""),"",1.96*SQRT(L134*(1-L134)/D134)*100)</f>
        <v/>
      </c>
      <c r="U134" s="5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3" t="str">
        <f>IF(L135="","",IF(L135&gt;=0.8,"충족","미달"))</f>
        <v/>
      </c>
      <c r="T135" s="24" t="str">
        <f>IF(OR(D135="",L135=""),"",1.96*SQRT(L135*(1-L135)/D135)*100)</f>
        <v/>
      </c>
      <c r="U135" s="5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3" t="str">
        <f>IF(L136="","",IF(L136&gt;=0.8,"충족","미달"))</f>
        <v/>
      </c>
      <c r="T136" s="24" t="str">
        <f>IF(OR(D136="",L136=""),"",1.96*SQRT(L136*(1-L136)/D136)*100)</f>
        <v/>
      </c>
      <c r="U136" s="5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3" t="str">
        <f>IF(L137="","",IF(L137&gt;=0.8,"충족","미달"))</f>
        <v/>
      </c>
      <c r="T137" s="24" t="str">
        <f>IF(OR(D137="",L137=""),"",1.96*SQRT(L137*(1-L137)/D137)*100)</f>
        <v/>
      </c>
      <c r="U137" s="5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3" t="str">
        <f>IF(L138="","",IF(L138&gt;=0.8,"충족","미달"))</f>
        <v/>
      </c>
      <c r="T138" s="24" t="str">
        <f>IF(OR(D138="",L138=""),"",1.96*SQRT(L138*(1-L138)/D138)*100)</f>
        <v/>
      </c>
      <c r="U138" s="5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3" t="str">
        <f>IF(L139="","",IF(L139&gt;=0.8,"충족","미달"))</f>
        <v/>
      </c>
      <c r="T139" s="24" t="str">
        <f>IF(OR(D139="",L139=""),"",1.96*SQRT(L139*(1-L139)/D139)*100)</f>
        <v/>
      </c>
      <c r="U139" s="5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3" t="str">
        <f>IF(L140="","",IF(L140&gt;=0.8,"충족","미달"))</f>
        <v/>
      </c>
      <c r="T140" s="24" t="str">
        <f>IF(OR(D140="",L140=""),"",1.96*SQRT(L140*(1-L140)/D140)*100)</f>
        <v/>
      </c>
      <c r="U140" s="5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3" t="str">
        <f>IF(L141="","",IF(L141&gt;=0.8,"충족","미달"))</f>
        <v/>
      </c>
      <c r="T141" s="24" t="str">
        <f>IF(OR(D141="",L141=""),"",1.96*SQRT(L141*(1-L141)/D141)*100)</f>
        <v/>
      </c>
      <c r="U141" s="5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3" t="str">
        <f>IF(L142="","",IF(L142&gt;=0.8,"충족","미달"))</f>
        <v/>
      </c>
      <c r="T142" s="24" t="str">
        <f>IF(OR(D142="",L142=""),"",1.96*SQRT(L142*(1-L142)/D142)*100)</f>
        <v/>
      </c>
      <c r="U142" s="5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3" t="str">
        <f>IF(L143="","",IF(L143&gt;=0.8,"충족","미달"))</f>
        <v/>
      </c>
      <c r="T143" s="24" t="str">
        <f>IF(OR(D143="",L143=""),"",1.96*SQRT(L143*(1-L143)/D143)*100)</f>
        <v/>
      </c>
      <c r="U143" s="5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3" t="str">
        <f>IF(L144="","",IF(L144&gt;=0.8,"충족","미달"))</f>
        <v/>
      </c>
      <c r="T144" s="24" t="str">
        <f>IF(OR(D144="",L144=""),"",1.96*SQRT(L144*(1-L144)/D144)*100)</f>
        <v/>
      </c>
      <c r="U144" s="5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3" t="str">
        <f>IF(L145="","",IF(L145&gt;=0.8,"충족","미달"))</f>
        <v/>
      </c>
      <c r="T145" s="24" t="str">
        <f>IF(OR(D145="",L145=""),"",1.96*SQRT(L145*(1-L145)/D145)*100)</f>
        <v/>
      </c>
      <c r="U145" s="5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3" t="str">
        <f>IF(L146="","",IF(L146&gt;=0.8,"충족","미달"))</f>
        <v/>
      </c>
      <c r="T146" s="24" t="str">
        <f>IF(OR(D146="",L146=""),"",1.96*SQRT(L146*(1-L146)/D146)*100)</f>
        <v/>
      </c>
      <c r="U146" s="5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3" t="str">
        <f>IF(L147="","",IF(L147&gt;=0.8,"충족","미달"))</f>
        <v/>
      </c>
      <c r="T147" s="24" t="str">
        <f>IF(OR(D147="",L147=""),"",1.96*SQRT(L147*(1-L147)/D147)*100)</f>
        <v/>
      </c>
      <c r="U147" s="5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3" t="str">
        <f>IF(L148="","",IF(L148&gt;=0.8,"충족","미달"))</f>
        <v/>
      </c>
      <c r="T148" s="24" t="str">
        <f>IF(OR(D148="",L148=""),"",1.96*SQRT(L148*(1-L148)/D148)*100)</f>
        <v/>
      </c>
      <c r="U148" s="5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3" t="str">
        <f>IF(L149="","",IF(L149&gt;=0.8,"충족","미달"))</f>
        <v/>
      </c>
      <c r="T149" s="24" t="str">
        <f>IF(OR(D149="",L149=""),"",1.96*SQRT(L149*(1-L149)/D149)*100)</f>
        <v/>
      </c>
      <c r="U149" s="5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3" t="str">
        <f>IF(L150="","",IF(L150&gt;=0.8,"충족","미달"))</f>
        <v/>
      </c>
      <c r="T150" s="24" t="str">
        <f>IF(OR(D150="",L150=""),"",1.96*SQRT(L150*(1-L150)/D150)*100)</f>
        <v/>
      </c>
      <c r="U150" s="5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3" t="str">
        <f>IF(L151="","",IF(L151&gt;=0.8,"충족","미달"))</f>
        <v/>
      </c>
      <c r="T151" s="24" t="str">
        <f>IF(OR(D151="",L151=""),"",1.96*SQRT(L151*(1-L151)/D151)*100)</f>
        <v/>
      </c>
      <c r="U151" s="5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3" t="str">
        <f>IF(L152="","",IF(L152&gt;=0.8,"충족","미달"))</f>
        <v/>
      </c>
      <c r="T152" s="24" t="str">
        <f>IF(OR(D152="",L152=""),"",1.96*SQRT(L152*(1-L152)/D152)*100)</f>
        <v/>
      </c>
      <c r="U152" s="5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3" t="str">
        <f>IF(L153="","",IF(L153&gt;=0.8,"충족","미달"))</f>
        <v/>
      </c>
      <c r="T153" s="24" t="str">
        <f>IF(OR(D153="",L153=""),"",1.96*SQRT(L153*(1-L153)/D153)*100)</f>
        <v/>
      </c>
      <c r="U153" s="5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3" t="str">
        <f>IF(L154="","",IF(L154&gt;=0.8,"충족","미달"))</f>
        <v/>
      </c>
      <c r="T154" s="24" t="str">
        <f>IF(OR(D154="",L154=""),"",1.96*SQRT(L154*(1-L154)/D154)*100)</f>
        <v/>
      </c>
      <c r="U154" s="5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3" t="str">
        <f>IF(L155="","",IF(L155&gt;=0.8,"충족","미달"))</f>
        <v/>
      </c>
      <c r="T155" s="24" t="str">
        <f>IF(OR(D155="",L155=""),"",1.96*SQRT(L155*(1-L155)/D155)*100)</f>
        <v/>
      </c>
      <c r="U155" s="5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3" t="str">
        <f>IF(L156="","",IF(L156&gt;=0.8,"충족","미달"))</f>
        <v/>
      </c>
      <c r="T156" s="24" t="str">
        <f>IF(OR(D156="",L156=""),"",1.96*SQRT(L156*(1-L156)/D156)*100)</f>
        <v/>
      </c>
      <c r="U156" s="5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3" t="str">
        <f>IF(L157="","",IF(L157&gt;=0.8,"충족","미달"))</f>
        <v/>
      </c>
      <c r="T157" s="24" t="str">
        <f>IF(OR(D157="",L157=""),"",1.96*SQRT(L157*(1-L157)/D157)*100)</f>
        <v/>
      </c>
      <c r="U157" s="5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3" t="str">
        <f>IF(L158="","",IF(L158&gt;=0.8,"충족","미달"))</f>
        <v/>
      </c>
      <c r="T158" s="24" t="str">
        <f>IF(OR(D158="",L158=""),"",1.96*SQRT(L158*(1-L158)/D158)*100)</f>
        <v/>
      </c>
      <c r="U158" s="5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3" t="str">
        <f>IF(L159="","",IF(L159&gt;=0.8,"충족","미달"))</f>
        <v/>
      </c>
      <c r="T159" s="24" t="str">
        <f>IF(OR(D159="",L159=""),"",1.96*SQRT(L159*(1-L159)/D159)*100)</f>
        <v/>
      </c>
      <c r="U159" s="5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3" t="str">
        <f>IF(L160="","",IF(L160&gt;=0.8,"충족","미달"))</f>
        <v/>
      </c>
      <c r="T160" s="24" t="str">
        <f>IF(OR(D160="",L160=""),"",1.96*SQRT(L160*(1-L160)/D160)*100)</f>
        <v/>
      </c>
      <c r="U160" s="5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3" t="str">
        <f>IF(L161="","",IF(L161&gt;=0.8,"충족","미달"))</f>
        <v/>
      </c>
      <c r="T161" s="24" t="str">
        <f>IF(OR(D161="",L161=""),"",1.96*SQRT(L161*(1-L161)/D161)*100)</f>
        <v/>
      </c>
      <c r="U161" s="5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3" t="str">
        <f>IF(L162="","",IF(L162&gt;=0.8,"충족","미달"))</f>
        <v/>
      </c>
      <c r="T162" s="24" t="str">
        <f>IF(OR(D162="",L162=""),"",1.96*SQRT(L162*(1-L162)/D162)*100)</f>
        <v/>
      </c>
      <c r="U162" s="5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3" t="str">
        <f>IF(L163="","",IF(L163&gt;=0.8,"충족","미달"))</f>
        <v/>
      </c>
      <c r="T163" s="24" t="str">
        <f>IF(OR(D163="",L163=""),"",1.96*SQRT(L163*(1-L163)/D163)*100)</f>
        <v/>
      </c>
      <c r="U163" s="5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3" t="str">
        <f>IF(L164="","",IF(L164&gt;=0.8,"충족","미달"))</f>
        <v/>
      </c>
      <c r="T164" s="24" t="str">
        <f>IF(OR(D164="",L164=""),"",1.96*SQRT(L164*(1-L164)/D164)*100)</f>
        <v/>
      </c>
      <c r="U164" s="5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3" t="str">
        <f>IF(L165="","",IF(L165&gt;=0.8,"충족","미달"))</f>
        <v/>
      </c>
      <c r="T165" s="24" t="str">
        <f>IF(OR(D165="",L165=""),"",1.96*SQRT(L165*(1-L165)/D165)*100)</f>
        <v/>
      </c>
      <c r="U165" s="5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3" t="str">
        <f>IF(L166="","",IF(L166&gt;=0.8,"충족","미달"))</f>
        <v/>
      </c>
      <c r="T166" s="24" t="str">
        <f>IF(OR(D166="",L166=""),"",1.96*SQRT(L166*(1-L166)/D166)*100)</f>
        <v/>
      </c>
      <c r="U166" s="5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3" t="str">
        <f>IF(L167="","",IF(L167&gt;=0.8,"충족","미달"))</f>
        <v/>
      </c>
      <c r="T167" s="24" t="str">
        <f>IF(OR(D167="",L167=""),"",1.96*SQRT(L167*(1-L167)/D167)*100)</f>
        <v/>
      </c>
      <c r="U167" s="5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3" t="str">
        <f>IF(L168="","",IF(L168&gt;=0.8,"충족","미달"))</f>
        <v/>
      </c>
      <c r="T168" s="24" t="str">
        <f>IF(OR(D168="",L168=""),"",1.96*SQRT(L168*(1-L168)/D168)*100)</f>
        <v/>
      </c>
      <c r="U168" s="5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3" t="str">
        <f>IF(L169="","",IF(L169&gt;=0.8,"충족","미달"))</f>
        <v/>
      </c>
      <c r="T169" s="24" t="str">
        <f>IF(OR(D169="",L169=""),"",1.96*SQRT(L169*(1-L169)/D169)*100)</f>
        <v/>
      </c>
      <c r="U169" s="5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3" t="str">
        <f>IF(L170="","",IF(L170&gt;=0.8,"충족","미달"))</f>
        <v/>
      </c>
      <c r="T170" s="24" t="str">
        <f>IF(OR(D170="",L170=""),"",1.96*SQRT(L170*(1-L170)/D170)*100)</f>
        <v/>
      </c>
      <c r="U170" s="5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3" t="str">
        <f>IF(L171="","",IF(L171&gt;=0.8,"충족","미달"))</f>
        <v/>
      </c>
      <c r="T171" s="24" t="str">
        <f>IF(OR(D171="",L171=""),"",1.96*SQRT(L171*(1-L171)/D171)*100)</f>
        <v/>
      </c>
      <c r="U171" s="5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3" t="str">
        <f>IF(L172="","",IF(L172&gt;=0.8,"충족","미달"))</f>
        <v/>
      </c>
      <c r="T172" s="24" t="str">
        <f>IF(OR(D172="",L172=""),"",1.96*SQRT(L172*(1-L172)/D172)*100)</f>
        <v/>
      </c>
      <c r="U172" s="5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3" t="str">
        <f>IF(L173="","",IF(L173&gt;=0.8,"충족","미달"))</f>
        <v/>
      </c>
      <c r="T173" s="24" t="str">
        <f>IF(OR(D173="",L173=""),"",1.96*SQRT(L173*(1-L173)/D173)*100)</f>
        <v/>
      </c>
      <c r="U173" s="5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3" t="str">
        <f>IF(L174="","",IF(L174&gt;=0.8,"충족","미달"))</f>
        <v/>
      </c>
      <c r="T174" s="24" t="str">
        <f>IF(OR(D174="",L174=""),"",1.96*SQRT(L174*(1-L174)/D174)*100)</f>
        <v/>
      </c>
      <c r="U174" s="5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3" t="str">
        <f>IF(L175="","",IF(L175&gt;=0.8,"충족","미달"))</f>
        <v/>
      </c>
      <c r="T175" s="24" t="str">
        <f>IF(OR(D175="",L175=""),"",1.96*SQRT(L175*(1-L175)/D175)*100)</f>
        <v/>
      </c>
      <c r="U175" s="5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3" t="str">
        <f>IF(L176="","",IF(L176&gt;=0.8,"충족","미달"))</f>
        <v/>
      </c>
      <c r="T176" s="24" t="str">
        <f>IF(OR(D176="",L176=""),"",1.96*SQRT(L176*(1-L176)/D176)*100)</f>
        <v/>
      </c>
      <c r="U176" s="5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3" t="str">
        <f>IF(L177="","",IF(L177&gt;=0.8,"충족","미달"))</f>
        <v/>
      </c>
      <c r="T177" s="24" t="str">
        <f>IF(OR(D177="",L177=""),"",1.96*SQRT(L177*(1-L177)/D177)*100)</f>
        <v/>
      </c>
      <c r="U177" s="5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3" t="str">
        <f>IF(L178="","",IF(L178&gt;=0.8,"충족","미달"))</f>
        <v/>
      </c>
      <c r="T178" s="24" t="str">
        <f>IF(OR(D178="",L178=""),"",1.96*SQRT(L178*(1-L178)/D178)*100)</f>
        <v/>
      </c>
      <c r="U178" s="5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3" t="str">
        <f>IF(L179="","",IF(L179&gt;=0.8,"충족","미달"))</f>
        <v/>
      </c>
      <c r="T179" s="24" t="str">
        <f>IF(OR(D179="",L179=""),"",1.96*SQRT(L179*(1-L179)/D179)*100)</f>
        <v/>
      </c>
      <c r="U179" s="5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3" t="str">
        <f>IF(L180="","",IF(L180&gt;=0.8,"충족","미달"))</f>
        <v/>
      </c>
      <c r="T180" s="24" t="str">
        <f>IF(OR(D180="",L180=""),"",1.96*SQRT(L180*(1-L180)/D180)*100)</f>
        <v/>
      </c>
      <c r="U180" s="5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3" t="str">
        <f>IF(L181="","",IF(L181&gt;=0.8,"충족","미달"))</f>
        <v/>
      </c>
      <c r="T181" s="24" t="str">
        <f>IF(OR(D181="",L181=""),"",1.96*SQRT(L181*(1-L181)/D181)*100)</f>
        <v/>
      </c>
      <c r="U181" s="5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3" t="str">
        <f>IF(L182="","",IF(L182&gt;=0.8,"충족","미달"))</f>
        <v/>
      </c>
      <c r="T182" s="24" t="str">
        <f>IF(OR(D182="",L182=""),"",1.96*SQRT(L182*(1-L182)/D182)*100)</f>
        <v/>
      </c>
      <c r="U182" s="5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3" t="str">
        <f>IF(L183="","",IF(L183&gt;=0.8,"충족","미달"))</f>
        <v/>
      </c>
      <c r="T183" s="24" t="str">
        <f>IF(OR(D183="",L183=""),"",1.96*SQRT(L183*(1-L183)/D183)*100)</f>
        <v/>
      </c>
      <c r="U183" s="5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3" t="str">
        <f>IF(L184="","",IF(L184&gt;=0.8,"충족","미달"))</f>
        <v/>
      </c>
      <c r="T184" s="24" t="str">
        <f>IF(OR(D184="",L184=""),"",1.96*SQRT(L184*(1-L184)/D184)*100)</f>
        <v/>
      </c>
      <c r="U184" s="5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3" t="str">
        <f>IF(L185="","",IF(L185&gt;=0.8,"충족","미달"))</f>
        <v/>
      </c>
      <c r="T185" s="24" t="str">
        <f>IF(OR(D185="",L185=""),"",1.96*SQRT(L185*(1-L185)/D185)*100)</f>
        <v/>
      </c>
      <c r="U185" s="5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3" t="str">
        <f>IF(L186="","",IF(L186&gt;=0.8,"충족","미달"))</f>
        <v/>
      </c>
      <c r="T186" s="24" t="str">
        <f>IF(OR(D186="",L186=""),"",1.96*SQRT(L186*(1-L186)/D186)*100)</f>
        <v/>
      </c>
      <c r="U186" s="5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3" t="str">
        <f>IF(L187="","",IF(L187&gt;=0.8,"충족","미달"))</f>
        <v/>
      </c>
      <c r="T187" s="24" t="str">
        <f>IF(OR(D187="",L187=""),"",1.96*SQRT(L187*(1-L187)/D187)*100)</f>
        <v/>
      </c>
      <c r="U187" s="5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3" t="str">
        <f>IF(L188="","",IF(L188&gt;=0.8,"충족","미달"))</f>
        <v/>
      </c>
      <c r="T188" s="24" t="str">
        <f>IF(OR(D188="",L188=""),"",1.96*SQRT(L188*(1-L188)/D188)*100)</f>
        <v/>
      </c>
      <c r="U188" s="5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3" t="str">
        <f>IF(L189="","",IF(L189&gt;=0.8,"충족","미달"))</f>
        <v/>
      </c>
      <c r="T189" s="24" t="str">
        <f>IF(OR(D189="",L189=""),"",1.96*SQRT(L189*(1-L189)/D189)*100)</f>
        <v/>
      </c>
      <c r="U189" s="5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3" t="str">
        <f>IF(L190="","",IF(L190&gt;=0.8,"충족","미달"))</f>
        <v/>
      </c>
      <c r="T190" s="24" t="str">
        <f>IF(OR(D190="",L190=""),"",1.96*SQRT(L190*(1-L190)/D190)*100)</f>
        <v/>
      </c>
      <c r="U190" s="5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3" t="str">
        <f>IF(L191="","",IF(L191&gt;=0.8,"충족","미달"))</f>
        <v/>
      </c>
      <c r="T191" s="24" t="str">
        <f>IF(OR(D191="",L191=""),"",1.96*SQRT(L191*(1-L191)/D191)*100)</f>
        <v/>
      </c>
      <c r="U191" s="5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3" t="str">
        <f>IF(L192="","",IF(L192&gt;=0.8,"충족","미달"))</f>
        <v/>
      </c>
      <c r="T192" s="24" t="str">
        <f>IF(OR(D192="",L192=""),"",1.96*SQRT(L192*(1-L192)/D192)*100)</f>
        <v/>
      </c>
      <c r="U192" s="5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3" t="str">
        <f>IF(L193="","",IF(L193&gt;=0.8,"충족","미달"))</f>
        <v/>
      </c>
      <c r="T193" s="24" t="str">
        <f>IF(OR(D193="",L193=""),"",1.96*SQRT(L193*(1-L193)/D193)*100)</f>
        <v/>
      </c>
      <c r="U193" s="5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3" t="str">
        <f>IF(L194="","",IF(L194&gt;=0.8,"충족","미달"))</f>
        <v/>
      </c>
      <c r="T194" s="24" t="str">
        <f>IF(OR(D194="",L194=""),"",1.96*SQRT(L194*(1-L194)/D194)*100)</f>
        <v/>
      </c>
      <c r="U194" s="5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3" t="str">
        <f>IF(L195="","",IF(L195&gt;=0.8,"충족","미달"))</f>
        <v/>
      </c>
      <c r="T195" s="24" t="str">
        <f>IF(OR(D195="",L195=""),"",1.96*SQRT(L195*(1-L195)/D195)*100)</f>
        <v/>
      </c>
      <c r="U195" s="5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3" t="str">
        <f>IF(L196="","",IF(L196&gt;=0.8,"충족","미달"))</f>
        <v/>
      </c>
      <c r="T196" s="24" t="str">
        <f>IF(OR(D196="",L196=""),"",1.96*SQRT(L196*(1-L196)/D196)*100)</f>
        <v/>
      </c>
      <c r="U196" s="5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3" t="str">
        <f>IF(L197="","",IF(L197&gt;=0.8,"충족","미달"))</f>
        <v/>
      </c>
      <c r="T197" s="24" t="str">
        <f>IF(OR(D197="",L197=""),"",1.96*SQRT(L197*(1-L197)/D197)*100)</f>
        <v/>
      </c>
      <c r="U197" s="5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3" t="str">
        <f>IF(L198="","",IF(L198&gt;=0.8,"충족","미달"))</f>
        <v/>
      </c>
      <c r="T198" s="24" t="str">
        <f>IF(OR(D198="",L198=""),"",1.96*SQRT(L198*(1-L198)/D198)*100)</f>
        <v/>
      </c>
      <c r="U198" s="5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3" t="str">
        <f>IF(L199="","",IF(L199&gt;=0.8,"충족","미달"))</f>
        <v/>
      </c>
      <c r="T199" s="24" t="str">
        <f>IF(OR(D199="",L199=""),"",1.96*SQRT(L199*(1-L199)/D199)*100)</f>
        <v/>
      </c>
      <c r="U199" s="5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3" t="str">
        <f>IF(L200="","",IF(L200&gt;=0.8,"충족","미달"))</f>
        <v/>
      </c>
      <c r="T200" s="24" t="str">
        <f>IF(OR(D200="",L200=""),"",1.96*SQRT(L200*(1-L200)/D200)*100)</f>
        <v/>
      </c>
      <c r="U200" s="5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3" t="str">
        <f>IF(L201="","",IF(L201&gt;=0.8,"충족","미달"))</f>
        <v/>
      </c>
      <c r="T201" s="24" t="str">
        <f>IF(OR(D201="",L201=""),"",1.96*SQRT(L201*(1-L201)/D201)*100)</f>
        <v/>
      </c>
      <c r="U201" s="5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3" t="str">
        <f>IF(L202="","",IF(L202&gt;=0.8,"충족","미달"))</f>
        <v/>
      </c>
      <c r="T202" s="24" t="str">
        <f>IF(OR(D202="",L202=""),"",1.96*SQRT(L202*(1-L202)/D202)*100)</f>
        <v/>
      </c>
      <c r="U202" s="5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3" t="str">
        <f>IF(L203="","",IF(L203&gt;=0.8,"충족","미달"))</f>
        <v/>
      </c>
      <c r="T203" s="24" t="str">
        <f>IF(OR(D203="",L203=""),"",1.96*SQRT(L203*(1-L203)/D203)*100)</f>
        <v/>
      </c>
      <c r="U203" s="5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3" t="str">
        <f>IF(L204="","",IF(L204&gt;=0.8,"충족","미달"))</f>
        <v/>
      </c>
      <c r="T204" s="24" t="str">
        <f>IF(OR(D204="",L204=""),"",1.96*SQRT(L204*(1-L204)/D204)*100)</f>
        <v/>
      </c>
      <c r="U204" s="5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3" t="str">
        <f>IF(L205="","",IF(L205&gt;=0.8,"충족","미달"))</f>
        <v/>
      </c>
      <c r="T205" s="24" t="str">
        <f>IF(OR(D205="",L205=""),"",1.96*SQRT(L205*(1-L205)/D205)*100)</f>
        <v/>
      </c>
      <c r="U205" s="5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3" t="str">
        <f>IF(L206="","",IF(L206&gt;=0.8,"충족","미달"))</f>
        <v/>
      </c>
      <c r="T206" s="24" t="str">
        <f>IF(OR(D206="",L206=""),"",1.96*SQRT(L206*(1-L206)/D206)*100)</f>
        <v/>
      </c>
      <c r="U206" s="5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3" t="str">
        <f>IF(L207="","",IF(L207&gt;=0.8,"충족","미달"))</f>
        <v/>
      </c>
      <c r="T207" s="24" t="str">
        <f>IF(OR(D207="",L207=""),"",1.96*SQRT(L207*(1-L207)/D207)*100)</f>
        <v/>
      </c>
      <c r="U207" s="5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3" t="str">
        <f>IF(L208="","",IF(L208&gt;=0.8,"충족","미달"))</f>
        <v/>
      </c>
      <c r="T208" s="24" t="str">
        <f>IF(OR(D208="",L208=""),"",1.96*SQRT(L208*(1-L208)/D208)*100)</f>
        <v/>
      </c>
      <c r="U208" s="5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3" t="str">
        <f>IF(L209="","",IF(L209&gt;=0.8,"충족","미달"))</f>
        <v/>
      </c>
      <c r="T209" s="24" t="str">
        <f>IF(OR(D209="",L209=""),"",1.96*SQRT(L209*(1-L209)/D209)*100)</f>
        <v/>
      </c>
      <c r="U209" s="5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3" t="str">
        <f>IF(L210="","",IF(L210&gt;=0.8,"충족","미달"))</f>
        <v/>
      </c>
      <c r="T210" s="24" t="str">
        <f>IF(OR(D210="",L210=""),"",1.96*SQRT(L210*(1-L210)/D210)*100)</f>
        <v/>
      </c>
      <c r="U210" s="5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3" t="str">
        <f>IF(L211="","",IF(L211&gt;=0.8,"충족","미달"))</f>
        <v/>
      </c>
      <c r="T211" s="24" t="str">
        <f>IF(OR(D211="",L211=""),"",1.96*SQRT(L211*(1-L211)/D211)*100)</f>
        <v/>
      </c>
      <c r="U211" s="5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3" t="str">
        <f>IF(L212="","",IF(L212&gt;=0.8,"충족","미달"))</f>
        <v/>
      </c>
      <c r="T212" s="24" t="str">
        <f>IF(OR(D212="",L212=""),"",1.96*SQRT(L212*(1-L212)/D212)*100)</f>
        <v/>
      </c>
      <c r="U212" s="5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3" t="str">
        <f>IF(L213="","",IF(L213&gt;=0.8,"충족","미달"))</f>
        <v/>
      </c>
      <c r="T213" s="24" t="str">
        <f>IF(OR(D213="",L213=""),"",1.96*SQRT(L213*(1-L213)/D213)*100)</f>
        <v/>
      </c>
      <c r="U213" s="5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3" t="str">
        <f>IF(L214="","",IF(L214&gt;=0.8,"충족","미달"))</f>
        <v/>
      </c>
      <c r="T214" s="24" t="str">
        <f>IF(OR(D214="",L214=""),"",1.96*SQRT(L214*(1-L214)/D214)*100)</f>
        <v/>
      </c>
      <c r="U214" s="5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3" t="str">
        <f>IF(L215="","",IF(L215&gt;=0.8,"충족","미달"))</f>
        <v/>
      </c>
      <c r="T215" s="24" t="str">
        <f>IF(OR(D215="",L215=""),"",1.96*SQRT(L215*(1-L215)/D215)*100)</f>
        <v/>
      </c>
      <c r="U215" s="5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3" t="str">
        <f>IF(L216="","",IF(L216&gt;=0.8,"충족","미달"))</f>
        <v/>
      </c>
      <c r="T216" s="24" t="str">
        <f>IF(OR(D216="",L216=""),"",1.96*SQRT(L216*(1-L216)/D216)*100)</f>
        <v/>
      </c>
      <c r="U216" s="5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3" t="str">
        <f>IF(L217="","",IF(L217&gt;=0.8,"충족","미달"))</f>
        <v/>
      </c>
      <c r="T217" s="24" t="str">
        <f>IF(OR(D217="",L217=""),"",1.96*SQRT(L217*(1-L217)/D217)*100)</f>
        <v/>
      </c>
      <c r="U217" s="5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3" t="str">
        <f>IF(L218="","",IF(L218&gt;=0.8,"충족","미달"))</f>
        <v/>
      </c>
      <c r="T218" s="24" t="str">
        <f>IF(OR(D218="",L218=""),"",1.96*SQRT(L218*(1-L218)/D218)*100)</f>
        <v/>
      </c>
      <c r="U218" s="5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3" t="str">
        <f>IF(L219="","",IF(L219&gt;=0.8,"충족","미달"))</f>
        <v/>
      </c>
      <c r="T219" s="24" t="str">
        <f>IF(OR(D219="",L219=""),"",1.96*SQRT(L219*(1-L219)/D219)*100)</f>
        <v/>
      </c>
      <c r="U219" s="5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3" t="str">
        <f>IF(L220="","",IF(L220&gt;=0.8,"충족","미달"))</f>
        <v/>
      </c>
      <c r="T220" s="24" t="str">
        <f>IF(OR(D220="",L220=""),"",1.96*SQRT(L220*(1-L220)/D220)*100)</f>
        <v/>
      </c>
      <c r="U220" s="5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3" t="str">
        <f>IF(L221="","",IF(L221&gt;=0.8,"충족","미달"))</f>
        <v/>
      </c>
      <c r="T221" s="24" t="str">
        <f>IF(OR(D221="",L221=""),"",1.96*SQRT(L221*(1-L221)/D221)*100)</f>
        <v/>
      </c>
      <c r="U221" s="5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3" t="str">
        <f>IF(L222="","",IF(L222&gt;=0.8,"충족","미달"))</f>
        <v/>
      </c>
      <c r="T222" s="24" t="str">
        <f>IF(OR(D222="",L222=""),"",1.96*SQRT(L222*(1-L222)/D222)*100)</f>
        <v/>
      </c>
      <c r="U222" s="5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3" t="str">
        <f>IF(L223="","",IF(L223&gt;=0.8,"충족","미달"))</f>
        <v/>
      </c>
      <c r="T223" s="24" t="str">
        <f>IF(OR(D223="",L223=""),"",1.96*SQRT(L223*(1-L223)/D223)*100)</f>
        <v/>
      </c>
      <c r="U223" s="5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3" t="str">
        <f>IF(L224="","",IF(L224&gt;=0.8,"충족","미달"))</f>
        <v/>
      </c>
      <c r="T224" s="24" t="str">
        <f>IF(OR(D224="",L224=""),"",1.96*SQRT(L224*(1-L224)/D224)*100)</f>
        <v/>
      </c>
      <c r="U224" s="5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3" t="str">
        <f>IF(L225="","",IF(L225&gt;=0.8,"충족","미달"))</f>
        <v/>
      </c>
      <c r="T225" s="24" t="str">
        <f>IF(OR(D225="",L225=""),"",1.96*SQRT(L225*(1-L225)/D225)*100)</f>
        <v/>
      </c>
      <c r="U225" s="5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3" t="str">
        <f>IF(L226="","",IF(L226&gt;=0.8,"충족","미달"))</f>
        <v/>
      </c>
      <c r="T226" s="24" t="str">
        <f>IF(OR(D226="",L226=""),"",1.96*SQRT(L226*(1-L226)/D226)*100)</f>
        <v/>
      </c>
      <c r="U226" s="5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3" t="str">
        <f>IF(L227="","",IF(L227&gt;=0.8,"충족","미달"))</f>
        <v/>
      </c>
      <c r="T227" s="24" t="str">
        <f>IF(OR(D227="",L227=""),"",1.96*SQRT(L227*(1-L227)/D227)*100)</f>
        <v/>
      </c>
      <c r="U227" s="5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3" t="str">
        <f>IF(L228="","",IF(L228&gt;=0.8,"충족","미달"))</f>
        <v/>
      </c>
      <c r="T228" s="24" t="str">
        <f>IF(OR(D228="",L228=""),"",1.96*SQRT(L228*(1-L228)/D228)*100)</f>
        <v/>
      </c>
      <c r="U228" s="5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3" t="str">
        <f>IF(L229="","",IF(L229&gt;=0.8,"충족","미달"))</f>
        <v/>
      </c>
      <c r="T229" s="24" t="str">
        <f>IF(OR(D229="",L229=""),"",1.96*SQRT(L229*(1-L229)/D229)*100)</f>
        <v/>
      </c>
      <c r="U229" s="5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3" t="str">
        <f>IF(L230="","",IF(L230&gt;=0.8,"충족","미달"))</f>
        <v/>
      </c>
      <c r="T230" s="24" t="str">
        <f>IF(OR(D230="",L230=""),"",1.96*SQRT(L230*(1-L230)/D230)*100)</f>
        <v/>
      </c>
      <c r="U230" s="5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3" t="str">
        <f>IF(L231="","",IF(L231&gt;=0.8,"충족","미달"))</f>
        <v/>
      </c>
      <c r="T231" s="24" t="str">
        <f>IF(OR(D231="",L231=""),"",1.96*SQRT(L231*(1-L231)/D231)*100)</f>
        <v/>
      </c>
      <c r="U231" s="5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3" t="str">
        <f>IF(L232="","",IF(L232&gt;=0.8,"충족","미달"))</f>
        <v/>
      </c>
      <c r="T232" s="24" t="str">
        <f>IF(OR(D232="",L232=""),"",1.96*SQRT(L232*(1-L232)/D232)*100)</f>
        <v/>
      </c>
      <c r="U232" s="5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3" t="str">
        <f>IF(L233="","",IF(L233&gt;=0.8,"충족","미달"))</f>
        <v/>
      </c>
      <c r="T233" s="24" t="str">
        <f>IF(OR(D233="",L233=""),"",1.96*SQRT(L233*(1-L233)/D233)*100)</f>
        <v/>
      </c>
      <c r="U233" s="5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3" t="str">
        <f>IF(L234="","",IF(L234&gt;=0.8,"충족","미달"))</f>
        <v/>
      </c>
      <c r="T234" s="24" t="str">
        <f>IF(OR(D234="",L234=""),"",1.96*SQRT(L234*(1-L234)/D234)*100)</f>
        <v/>
      </c>
      <c r="U234" s="5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3" t="str">
        <f>IF(L235="","",IF(L235&gt;=0.8,"충족","미달"))</f>
        <v/>
      </c>
      <c r="T235" s="24" t="str">
        <f>IF(OR(D235="",L235=""),"",1.96*SQRT(L235*(1-L235)/D235)*100)</f>
        <v/>
      </c>
      <c r="U235" s="5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3" t="str">
        <f>IF(L236="","",IF(L236&gt;=0.8,"충족","미달"))</f>
        <v/>
      </c>
      <c r="T236" s="24" t="str">
        <f>IF(OR(D236="",L236=""),"",1.96*SQRT(L236*(1-L236)/D236)*100)</f>
        <v/>
      </c>
      <c r="U236" s="5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3" t="str">
        <f>IF(L237="","",IF(L237&gt;=0.8,"충족","미달"))</f>
        <v/>
      </c>
      <c r="T237" s="24" t="str">
        <f>IF(OR(D237="",L237=""),"",1.96*SQRT(L237*(1-L237)/D237)*100)</f>
        <v/>
      </c>
      <c r="U237" s="5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3" t="str">
        <f>IF(L238="","",IF(L238&gt;=0.8,"충족","미달"))</f>
        <v/>
      </c>
      <c r="T238" s="24" t="str">
        <f>IF(OR(D238="",L238=""),"",1.96*SQRT(L238*(1-L238)/D238)*100)</f>
        <v/>
      </c>
      <c r="U238" s="5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3" t="str">
        <f>IF(L239="","",IF(L239&gt;=0.8,"충족","미달"))</f>
        <v/>
      </c>
      <c r="T239" s="24" t="str">
        <f>IF(OR(D239="",L239=""),"",1.96*SQRT(L239*(1-L239)/D239)*100)</f>
        <v/>
      </c>
      <c r="U239" s="5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3" t="str">
        <f>IF(L240="","",IF(L240&gt;=0.8,"충족","미달"))</f>
        <v/>
      </c>
      <c r="T240" s="24" t="str">
        <f>IF(OR(D240="",L240=""),"",1.96*SQRT(L240*(1-L240)/D240)*100)</f>
        <v/>
      </c>
      <c r="U240" s="5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3" t="str">
        <f>IF(L241="","",IF(L241&gt;=0.8,"충족","미달"))</f>
        <v/>
      </c>
      <c r="T241" s="24" t="str">
        <f>IF(OR(D241="",L241=""),"",1.96*SQRT(L241*(1-L241)/D241)*100)</f>
        <v/>
      </c>
      <c r="U241" s="5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3" t="str">
        <f>IF(L242="","",IF(L242&gt;=0.8,"충족","미달"))</f>
        <v/>
      </c>
      <c r="T242" s="24" t="str">
        <f>IF(OR(D242="",L242=""),"",1.96*SQRT(L242*(1-L242)/D242)*100)</f>
        <v/>
      </c>
      <c r="U242" s="5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3" t="str">
        <f>IF(L243="","",IF(L243&gt;=0.8,"충족","미달"))</f>
        <v/>
      </c>
      <c r="T243" s="24" t="str">
        <f>IF(OR(D243="",L243=""),"",1.96*SQRT(L243*(1-L243)/D243)*100)</f>
        <v/>
      </c>
      <c r="U243" s="5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3" t="str">
        <f>IF(L244="","",IF(L244&gt;=0.8,"충족","미달"))</f>
        <v/>
      </c>
      <c r="T244" s="24" t="str">
        <f>IF(OR(D244="",L244=""),"",1.96*SQRT(L244*(1-L244)/D244)*100)</f>
        <v/>
      </c>
      <c r="U244" s="5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3" t="str">
        <f>IF(L245="","",IF(L245&gt;=0.8,"충족","미달"))</f>
        <v/>
      </c>
      <c r="T245" s="24" t="str">
        <f>IF(OR(D245="",L245=""),"",1.96*SQRT(L245*(1-L245)/D245)*100)</f>
        <v/>
      </c>
      <c r="U245" s="5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3" t="str">
        <f>IF(L246="","",IF(L246&gt;=0.8,"충족","미달"))</f>
        <v/>
      </c>
      <c r="T246" s="24" t="str">
        <f>IF(OR(D246="",L246=""),"",1.96*SQRT(L246*(1-L246)/D246)*100)</f>
        <v/>
      </c>
      <c r="U246" s="5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3" t="str">
        <f>IF(L247="","",IF(L247&gt;=0.8,"충족","미달"))</f>
        <v/>
      </c>
      <c r="T247" s="24" t="str">
        <f>IF(OR(D247="",L247=""),"",1.96*SQRT(L247*(1-L247)/D247)*100)</f>
        <v/>
      </c>
      <c r="U247" s="5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3" t="str">
        <f>IF(L248="","",IF(L248&gt;=0.8,"충족","미달"))</f>
        <v/>
      </c>
      <c r="T248" s="24" t="str">
        <f>IF(OR(D248="",L248=""),"",1.96*SQRT(L248*(1-L248)/D248)*100)</f>
        <v/>
      </c>
      <c r="U248" s="5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3" t="str">
        <f>IF(L249="","",IF(L249&gt;=0.8,"충족","미달"))</f>
        <v/>
      </c>
      <c r="T249" s="24" t="str">
        <f>IF(OR(D249="",L249=""),"",1.96*SQRT(L249*(1-L249)/D249)*100)</f>
        <v/>
      </c>
      <c r="U249" s="5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3" t="str">
        <f>IF(L250="","",IF(L250&gt;=0.8,"충족","미달"))</f>
        <v/>
      </c>
      <c r="T250" s="24" t="str">
        <f>IF(OR(D250="",L250=""),"",1.96*SQRT(L250*(1-L250)/D250)*100)</f>
        <v/>
      </c>
      <c r="U250" s="5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3" t="str">
        <f>IF(L251="","",IF(L251&gt;=0.8,"충족","미달"))</f>
        <v/>
      </c>
      <c r="T251" s="24" t="str">
        <f>IF(OR(D251="",L251=""),"",1.96*SQRT(L251*(1-L251)/D251)*100)</f>
        <v/>
      </c>
      <c r="U251" s="5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3" t="str">
        <f>IF(L252="","",IF(L252&gt;=0.8,"충족","미달"))</f>
        <v/>
      </c>
      <c r="T252" s="24" t="str">
        <f>IF(OR(D252="",L252=""),"",1.96*SQRT(L252*(1-L252)/D252)*100)</f>
        <v/>
      </c>
      <c r="U252" s="5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3" t="str">
        <f>IF(L253="","",IF(L253&gt;=0.8,"충족","미달"))</f>
        <v/>
      </c>
      <c r="T253" s="24" t="str">
        <f>IF(OR(D253="",L253=""),"",1.96*SQRT(L253*(1-L253)/D253)*100)</f>
        <v/>
      </c>
      <c r="U253" s="5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3" t="str">
        <f>IF(L254="","",IF(L254&gt;=0.8,"충족","미달"))</f>
        <v/>
      </c>
      <c r="T254" s="24" t="str">
        <f>IF(OR(D254="",L254=""),"",1.96*SQRT(L254*(1-L254)/D254)*100)</f>
        <v/>
      </c>
      <c r="U254" s="5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3" t="str">
        <f>IF(L255="","",IF(L255&gt;=0.8,"충족","미달"))</f>
        <v/>
      </c>
      <c r="T255" s="24" t="str">
        <f>IF(OR(D255="",L255=""),"",1.96*SQRT(L255*(1-L255)/D255)*100)</f>
        <v/>
      </c>
      <c r="U255" s="5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3" t="str">
        <f>IF(L256="","",IF(L256&gt;=0.8,"충족","미달"))</f>
        <v/>
      </c>
      <c r="T256" s="24" t="str">
        <f>IF(OR(D256="",L256=""),"",1.96*SQRT(L256*(1-L256)/D256)*100)</f>
        <v/>
      </c>
      <c r="U256" s="5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3" t="str">
        <f>IF(L257="","",IF(L257&gt;=0.8,"충족","미달"))</f>
        <v/>
      </c>
      <c r="T257" s="24" t="str">
        <f>IF(OR(D257="",L257=""),"",1.96*SQRT(L257*(1-L257)/D257)*100)</f>
        <v/>
      </c>
      <c r="U257" s="5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3" t="str">
        <f>IF(L258="","",IF(L258&gt;=0.8,"충족","미달"))</f>
        <v/>
      </c>
      <c r="T258" s="24" t="str">
        <f>IF(OR(D258="",L258=""),"",1.96*SQRT(L258*(1-L258)/D258)*100)</f>
        <v/>
      </c>
      <c r="U258" s="5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3" t="str">
        <f>IF(L259="","",IF(L259&gt;=0.8,"충족","미달"))</f>
        <v/>
      </c>
      <c r="T259" s="24" t="str">
        <f>IF(OR(D259="",L259=""),"",1.96*SQRT(L259*(1-L259)/D259)*100)</f>
        <v/>
      </c>
      <c r="U259" s="5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3" t="str">
        <f>IF(L260="","",IF(L260&gt;=0.8,"충족","미달"))</f>
        <v/>
      </c>
      <c r="T260" s="24" t="str">
        <f>IF(OR(D260="",L260=""),"",1.96*SQRT(L260*(1-L260)/D260)*100)</f>
        <v/>
      </c>
      <c r="U260" s="5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3" t="str">
        <f>IF(L261="","",IF(L261&gt;=0.8,"충족","미달"))</f>
        <v/>
      </c>
      <c r="T261" s="24" t="str">
        <f>IF(OR(D261="",L261=""),"",1.96*SQRT(L261*(1-L261)/D261)*100)</f>
        <v/>
      </c>
      <c r="U261" s="5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3" t="str">
        <f>IF(L262="","",IF(L262&gt;=0.8,"충족","미달"))</f>
        <v/>
      </c>
      <c r="T262" s="24" t="str">
        <f>IF(OR(D262="",L262=""),"",1.96*SQRT(L262*(1-L262)/D262)*100)</f>
        <v/>
      </c>
      <c r="U262" s="5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3" t="str">
        <f>IF(L263="","",IF(L263&gt;=0.8,"충족","미달"))</f>
        <v/>
      </c>
      <c r="T263" s="24" t="str">
        <f>IF(OR(D263="",L263=""),"",1.96*SQRT(L263*(1-L263)/D263)*100)</f>
        <v/>
      </c>
      <c r="U263" s="5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3" t="str">
        <f>IF(L264="","",IF(L264&gt;=0.8,"충족","미달"))</f>
        <v/>
      </c>
      <c r="T264" s="24" t="str">
        <f>IF(OR(D264="",L264=""),"",1.96*SQRT(L264*(1-L264)/D264)*100)</f>
        <v/>
      </c>
      <c r="U264" s="5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3" t="str">
        <f>IF(L265="","",IF(L265&gt;=0.8,"충족","미달"))</f>
        <v/>
      </c>
      <c r="T265" s="24" t="str">
        <f>IF(OR(D265="",L265=""),"",1.96*SQRT(L265*(1-L265)/D265)*100)</f>
        <v/>
      </c>
      <c r="U265" s="5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3" t="str">
        <f>IF(L266="","",IF(L266&gt;=0.8,"충족","미달"))</f>
        <v/>
      </c>
      <c r="T266" s="24" t="str">
        <f>IF(OR(D266="",L266=""),"",1.96*SQRT(L266*(1-L266)/D266)*100)</f>
        <v/>
      </c>
      <c r="U266" s="5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3" t="str">
        <f>IF(L267="","",IF(L267&gt;=0.8,"충족","미달"))</f>
        <v/>
      </c>
      <c r="T267" s="24" t="str">
        <f>IF(OR(D267="",L267=""),"",1.96*SQRT(L267*(1-L267)/D267)*100)</f>
        <v/>
      </c>
      <c r="U267" s="5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3" t="str">
        <f>IF(L268="","",IF(L268&gt;=0.8,"충족","미달"))</f>
        <v/>
      </c>
      <c r="T268" s="24" t="str">
        <f>IF(OR(D268="",L268=""),"",1.96*SQRT(L268*(1-L268)/D268)*100)</f>
        <v/>
      </c>
      <c r="U268" s="5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3" t="str">
        <f>IF(L269="","",IF(L269&gt;=0.8,"충족","미달"))</f>
        <v/>
      </c>
      <c r="T269" s="24" t="str">
        <f>IF(OR(D269="",L269=""),"",1.96*SQRT(L269*(1-L269)/D269)*100)</f>
        <v/>
      </c>
      <c r="U269" s="5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3" t="str">
        <f>IF(L270="","",IF(L270&gt;=0.8,"충족","미달"))</f>
        <v/>
      </c>
      <c r="T270" s="24" t="str">
        <f>IF(OR(D270="",L270=""),"",1.96*SQRT(L270*(1-L270)/D270)*100)</f>
        <v/>
      </c>
      <c r="U270" s="5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3" t="str">
        <f>IF(L271="","",IF(L271&gt;=0.8,"충족","미달"))</f>
        <v/>
      </c>
      <c r="T271" s="24" t="str">
        <f>IF(OR(D271="",L271=""),"",1.96*SQRT(L271*(1-L271)/D271)*100)</f>
        <v/>
      </c>
      <c r="U271" s="5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3" t="str">
        <f>IF(L272="","",IF(L272&gt;=0.8,"충족","미달"))</f>
        <v/>
      </c>
      <c r="T272" s="24" t="str">
        <f>IF(OR(D272="",L272=""),"",1.96*SQRT(L272*(1-L272)/D272)*100)</f>
        <v/>
      </c>
      <c r="U272" s="5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3" t="str">
        <f>IF(L273="","",IF(L273&gt;=0.8,"충족","미달"))</f>
        <v/>
      </c>
      <c r="T273" s="24" t="str">
        <f>IF(OR(D273="",L273=""),"",1.96*SQRT(L273*(1-L273)/D273)*100)</f>
        <v/>
      </c>
      <c r="U273" s="5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3" t="str">
        <f>IF(L274="","",IF(L274&gt;=0.8,"충족","미달"))</f>
        <v/>
      </c>
      <c r="T274" s="24" t="str">
        <f>IF(OR(D274="",L274=""),"",1.96*SQRT(L274*(1-L274)/D274)*100)</f>
        <v/>
      </c>
      <c r="U274" s="5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3" t="str">
        <f>IF(L275="","",IF(L275&gt;=0.8,"충족","미달"))</f>
        <v/>
      </c>
      <c r="T275" s="24" t="str">
        <f>IF(OR(D275="",L275=""),"",1.96*SQRT(L275*(1-L275)/D275)*100)</f>
        <v/>
      </c>
      <c r="U275" s="5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3" t="str">
        <f>IF(L276="","",IF(L276&gt;=0.8,"충족","미달"))</f>
        <v/>
      </c>
      <c r="T276" s="24" t="str">
        <f>IF(OR(D276="",L276=""),"",1.96*SQRT(L276*(1-L276)/D276)*100)</f>
        <v/>
      </c>
      <c r="U276" s="5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3" t="str">
        <f>IF(L277="","",IF(L277&gt;=0.8,"충족","미달"))</f>
        <v/>
      </c>
      <c r="T277" s="24" t="str">
        <f>IF(OR(D277="",L277=""),"",1.96*SQRT(L277*(1-L277)/D277)*100)</f>
        <v/>
      </c>
      <c r="U277" s="5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3" t="str">
        <f>IF(L278="","",IF(L278&gt;=0.8,"충족","미달"))</f>
        <v/>
      </c>
      <c r="T278" s="24" t="str">
        <f>IF(OR(D278="",L278=""),"",1.96*SQRT(L278*(1-L278)/D278)*100)</f>
        <v/>
      </c>
      <c r="U278" s="5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3" t="str">
        <f>IF(L279="","",IF(L279&gt;=0.8,"충족","미달"))</f>
        <v/>
      </c>
      <c r="T279" s="24" t="str">
        <f>IF(OR(D279="",L279=""),"",1.96*SQRT(L279*(1-L279)/D279)*100)</f>
        <v/>
      </c>
      <c r="U279" s="5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3" t="str">
        <f>IF(L280="","",IF(L280&gt;=0.8,"충족","미달"))</f>
        <v/>
      </c>
      <c r="T280" s="24" t="str">
        <f>IF(OR(D280="",L280=""),"",1.96*SQRT(L280*(1-L280)/D280)*100)</f>
        <v/>
      </c>
      <c r="U280" s="5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3" t="str">
        <f>IF(L281="","",IF(L281&gt;=0.8,"충족","미달"))</f>
        <v/>
      </c>
      <c r="T281" s="24" t="str">
        <f>IF(OR(D281="",L281=""),"",1.96*SQRT(L281*(1-L281)/D281)*100)</f>
        <v/>
      </c>
      <c r="U281" s="5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3" t="str">
        <f>IF(L282="","",IF(L282&gt;=0.8,"충족","미달"))</f>
        <v/>
      </c>
      <c r="T282" s="24" t="str">
        <f>IF(OR(D282="",L282=""),"",1.96*SQRT(L282*(1-L282)/D282)*100)</f>
        <v/>
      </c>
      <c r="U282" s="5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3" t="str">
        <f>IF(L283="","",IF(L283&gt;=0.8,"충족","미달"))</f>
        <v/>
      </c>
      <c r="T283" s="24" t="str">
        <f>IF(OR(D283="",L283=""),"",1.96*SQRT(L283*(1-L283)/D283)*100)</f>
        <v/>
      </c>
      <c r="U283" s="5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3" t="str">
        <f>IF(L284="","",IF(L284&gt;=0.8,"충족","미달"))</f>
        <v/>
      </c>
      <c r="T284" s="24" t="str">
        <f>IF(OR(D284="",L284=""),"",1.96*SQRT(L284*(1-L284)/D284)*100)</f>
        <v/>
      </c>
      <c r="U284" s="5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3" t="str">
        <f>IF(L285="","",IF(L285&gt;=0.8,"충족","미달"))</f>
        <v/>
      </c>
      <c r="T285" s="24" t="str">
        <f>IF(OR(D285="",L285=""),"",1.96*SQRT(L285*(1-L285)/D285)*100)</f>
        <v/>
      </c>
      <c r="U285" s="5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3" t="str">
        <f>IF(L286="","",IF(L286&gt;=0.8,"충족","미달"))</f>
        <v/>
      </c>
      <c r="T286" s="24" t="str">
        <f>IF(OR(D286="",L286=""),"",1.96*SQRT(L286*(1-L286)/D286)*100)</f>
        <v/>
      </c>
      <c r="U286" s="5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3" t="str">
        <f>IF(L287="","",IF(L287&gt;=0.8,"충족","미달"))</f>
        <v/>
      </c>
      <c r="T287" s="24" t="str">
        <f>IF(OR(D287="",L287=""),"",1.96*SQRT(L287*(1-L287)/D287)*100)</f>
        <v/>
      </c>
      <c r="U287" s="5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3" t="str">
        <f>IF(L288="","",IF(L288&gt;=0.8,"충족","미달"))</f>
        <v/>
      </c>
      <c r="T288" s="24" t="str">
        <f>IF(OR(D288="",L288=""),"",1.96*SQRT(L288*(1-L288)/D288)*100)</f>
        <v/>
      </c>
      <c r="U288" s="5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3" t="str">
        <f>IF(L289="","",IF(L289&gt;=0.8,"충족","미달"))</f>
        <v/>
      </c>
      <c r="T289" s="24" t="str">
        <f>IF(OR(D289="",L289=""),"",1.96*SQRT(L289*(1-L289)/D289)*100)</f>
        <v/>
      </c>
      <c r="U289" s="5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3" t="str">
        <f>IF(L290="","",IF(L290&gt;=0.8,"충족","미달"))</f>
        <v/>
      </c>
      <c r="T290" s="24" t="str">
        <f>IF(OR(D290="",L290=""),"",1.96*SQRT(L290*(1-L290)/D290)*100)</f>
        <v/>
      </c>
      <c r="U290" s="5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3" t="str">
        <f>IF(L291="","",IF(L291&gt;=0.8,"충족","미달"))</f>
        <v/>
      </c>
      <c r="T291" s="24" t="str">
        <f>IF(OR(D291="",L291=""),"",1.96*SQRT(L291*(1-L291)/D291)*100)</f>
        <v/>
      </c>
      <c r="U291" s="5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3" t="str">
        <f>IF(L292="","",IF(L292&gt;=0.8,"충족","미달"))</f>
        <v/>
      </c>
      <c r="T292" s="24" t="str">
        <f>IF(OR(D292="",L292=""),"",1.96*SQRT(L292*(1-L292)/D292)*100)</f>
        <v/>
      </c>
      <c r="U292" s="5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3" t="str">
        <f>IF(L293="","",IF(L293&gt;=0.8,"충족","미달"))</f>
        <v/>
      </c>
      <c r="T293" s="24" t="str">
        <f>IF(OR(D293="",L293=""),"",1.96*SQRT(L293*(1-L293)/D293)*100)</f>
        <v/>
      </c>
      <c r="U293" s="5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3" t="str">
        <f>IF(L294="","",IF(L294&gt;=0.8,"충족","미달"))</f>
        <v/>
      </c>
      <c r="T294" s="24" t="str">
        <f>IF(OR(D294="",L294=""),"",1.96*SQRT(L294*(1-L294)/D294)*100)</f>
        <v/>
      </c>
      <c r="U294" s="5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3" t="str">
        <f>IF(L295="","",IF(L295&gt;=0.8,"충족","미달"))</f>
        <v/>
      </c>
      <c r="T295" s="24" t="str">
        <f>IF(OR(D295="",L295=""),"",1.96*SQRT(L295*(1-L295)/D295)*100)</f>
        <v/>
      </c>
      <c r="U295" s="5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3" t="str">
        <f>IF(L296="","",IF(L296&gt;=0.8,"충족","미달"))</f>
        <v/>
      </c>
      <c r="T296" s="24" t="str">
        <f>IF(OR(D296="",L296=""),"",1.96*SQRT(L296*(1-L296)/D296)*100)</f>
        <v/>
      </c>
      <c r="U296" s="5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3" t="str">
        <f>IF(L297="","",IF(L297&gt;=0.8,"충족","미달"))</f>
        <v/>
      </c>
      <c r="T297" s="24" t="str">
        <f>IF(OR(D297="",L297=""),"",1.96*SQRT(L297*(1-L297)/D297)*100)</f>
        <v/>
      </c>
      <c r="U297" s="5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3" t="str">
        <f>IF(L298="","",IF(L298&gt;=0.8,"충족","미달"))</f>
        <v/>
      </c>
      <c r="T298" s="24" t="str">
        <f>IF(OR(D298="",L298=""),"",1.96*SQRT(L298*(1-L298)/D298)*100)</f>
        <v/>
      </c>
      <c r="U298" s="5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3" t="str">
        <f>IF(L299="","",IF(L299&gt;=0.8,"충족","미달"))</f>
        <v/>
      </c>
      <c r="T299" s="24" t="str">
        <f>IF(OR(D299="",L299=""),"",1.96*SQRT(L299*(1-L299)/D299)*100)</f>
        <v/>
      </c>
      <c r="U299" s="5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3" t="str">
        <f>IF(L300="","",IF(L300&gt;=0.8,"충족","미달"))</f>
        <v/>
      </c>
      <c r="T300" s="24" t="str">
        <f>IF(OR(D300="",L300=""),"",1.96*SQRT(L300*(1-L300)/D300)*100)</f>
        <v/>
      </c>
      <c r="U300" s="5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3" t="str">
        <f>IF(L301="","",IF(L301&gt;=0.8,"충족","미달"))</f>
        <v/>
      </c>
      <c r="T301" s="24" t="str">
        <f>IF(OR(D301="",L301=""),"",1.96*SQRT(L301*(1-L301)/D301)*100)</f>
        <v/>
      </c>
      <c r="U301" s="5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3" t="str">
        <f>IF(L302="","",IF(L302&gt;=0.8,"충족","미달"))</f>
        <v/>
      </c>
      <c r="T302" s="24" t="str">
        <f>IF(OR(D302="",L302=""),"",1.96*SQRT(L302*(1-L302)/D302)*100)</f>
        <v/>
      </c>
      <c r="U302" s="5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3" t="str">
        <f>IF(L303="","",IF(L303&gt;=0.8,"충족","미달"))</f>
        <v/>
      </c>
      <c r="T303" s="24" t="str">
        <f>IF(OR(D303="",L303=""),"",1.96*SQRT(L303*(1-L303)/D303)*100)</f>
        <v/>
      </c>
      <c r="U303" s="5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3" t="str">
        <f>IF(L304="","",IF(L304&gt;=0.8,"충족","미달"))</f>
        <v/>
      </c>
      <c r="T304" s="24" t="str">
        <f>IF(OR(D304="",L304=""),"",1.96*SQRT(L304*(1-L304)/D304)*100)</f>
        <v/>
      </c>
      <c r="U304" s="5" t="n"/>
    </row>
  </sheetData>
  <autoFilter ref="A4:U304"/>
  <mergeCells count="2">
    <mergeCell ref="A1:U1"/>
    <mergeCell ref="A2:U2"/>
  </mergeCells>
  <conditionalFormatting sqref="S5:S304">
    <cfRule type="cellIs" priority="1" operator="equal" dxfId="0">
      <formula>"충족"</formula>
    </cfRule>
    <cfRule type="cellIs" priority="2" operator="equal" dxfId="2">
      <formula>"미달"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16" customWidth="1" min="4" max="4"/>
    <col width="34" customWidth="1" min="5" max="5"/>
  </cols>
  <sheetData>
    <row r="1">
      <c r="A1" s="8" t="inlineStr">
        <is>
          <t>4. 지표 정의 · 합격 기준</t>
        </is>
      </c>
    </row>
    <row r="2">
      <c r="A2" s="2" t="inlineStr">
        <is>
          <t>기준은 사내 실정에 맞게 조정 가능 · 조정 시 근거를 비고에 기록</t>
        </is>
      </c>
    </row>
    <row r="4">
      <c r="A4" s="3" t="inlineStr">
        <is>
          <t>지표</t>
        </is>
      </c>
      <c r="B4" s="3" t="inlineStr">
        <is>
          <t>정의</t>
        </is>
      </c>
      <c r="C4" s="3" t="inlineStr">
        <is>
          <t>계산식</t>
        </is>
      </c>
      <c r="D4" s="3" t="inlineStr">
        <is>
          <t>합격 기준</t>
        </is>
      </c>
      <c r="E4" s="3" t="inlineStr">
        <is>
          <t>미달 시 점검 단계</t>
        </is>
      </c>
    </row>
    <row r="5">
      <c r="A5" s="4" t="inlineStr">
        <is>
          <t>Recall@1</t>
        </is>
      </c>
      <c r="B5" s="5" t="inlineStr">
        <is>
          <t>1순위 결과가 정답 문서</t>
        </is>
      </c>
      <c r="C5" s="5" t="inlineStr">
        <is>
          <t>정답 top-1 문항 수 / 전체 문항 수</t>
        </is>
      </c>
      <c r="D5" s="5" t="inlineStr">
        <is>
          <t>≥ 0.70</t>
        </is>
      </c>
      <c r="E5" s="5" t="inlineStr">
        <is>
          <t>S11 결합 가중 · S12 리랭크</t>
        </is>
      </c>
    </row>
    <row r="6">
      <c r="A6" s="4" t="inlineStr">
        <is>
          <t>Recall@5</t>
        </is>
      </c>
      <c r="B6" s="5" t="inlineStr">
        <is>
          <t>상위 5개 안에 정답 문서 포함</t>
        </is>
      </c>
      <c r="C6" s="5" t="inlineStr">
        <is>
          <t>정답 top-5 문항 수 / 전체 문항 수</t>
        </is>
      </c>
      <c r="D6" s="5" t="inlineStr">
        <is>
          <t>≥ 0.80</t>
        </is>
      </c>
      <c r="E6" s="5" t="inlineStr">
        <is>
          <t>S09 토크나이저 · S03 청킹</t>
        </is>
      </c>
    </row>
    <row r="7">
      <c r="A7" s="4" t="inlineStr">
        <is>
          <t>Recall@10</t>
        </is>
      </c>
      <c r="B7" s="5" t="inlineStr">
        <is>
          <t>상위 10개 안에 정답 포함</t>
        </is>
      </c>
      <c r="C7" s="5" t="inlineStr">
        <is>
          <t>정답 top-10 문항 수 / 전체</t>
        </is>
      </c>
      <c r="D7" s="5" t="inlineStr">
        <is>
          <t>≥ 0.90</t>
        </is>
      </c>
      <c r="E7" s="5" t="inlineStr">
        <is>
          <t>S10 필터 · 후보 수</t>
        </is>
      </c>
    </row>
    <row r="8">
      <c r="A8" s="4" t="inlineStr">
        <is>
          <t>MRR</t>
        </is>
      </c>
      <c r="B8" s="5" t="inlineStr">
        <is>
          <t>첫 정답 순위의 역수 평균</t>
        </is>
      </c>
      <c r="C8" s="5" t="inlineStr">
        <is>
          <t>Σ(1/첫 정답 순위) / 전체</t>
        </is>
      </c>
      <c r="D8" s="5" t="inlineStr">
        <is>
          <t>≥ 0.65</t>
        </is>
      </c>
      <c r="E8" s="5" t="inlineStr">
        <is>
          <t>S12 리랭크</t>
        </is>
      </c>
    </row>
    <row r="9">
      <c r="A9" s="4" t="inlineStr">
        <is>
          <t>nDCG@10</t>
        </is>
      </c>
      <c r="B9" s="5" t="inlineStr">
        <is>
          <t>순위 가중 정확도</t>
        </is>
      </c>
      <c r="C9" s="5" t="inlineStr">
        <is>
          <t>DCG@10 / IDCG@10</t>
        </is>
      </c>
      <c r="D9" s="5" t="inlineStr">
        <is>
          <t>≥ 0.70</t>
        </is>
      </c>
      <c r="E9" s="5" t="inlineStr">
        <is>
          <t>S11 · S12</t>
        </is>
      </c>
    </row>
    <row r="10">
      <c r="A10" s="4" t="inlineStr">
        <is>
          <t>known-item R@5</t>
        </is>
      </c>
      <c r="B10" s="5" t="inlineStr">
        <is>
          <t>원문 문장 질의 회수율</t>
        </is>
      </c>
      <c r="C10" s="5" t="inlineStr">
        <is>
          <t>동일 (자동셋)</t>
        </is>
      </c>
      <c r="D10" s="5" t="inlineStr">
        <is>
          <t>≥ 0.95</t>
        </is>
      </c>
      <c r="E10" s="5" t="inlineStr">
        <is>
          <t>색인 · 토크나이저 결함 의심</t>
        </is>
      </c>
    </row>
    <row r="11">
      <c r="A11" s="4" t="inlineStr">
        <is>
          <t>충실도</t>
        </is>
      </c>
      <c r="B11" s="5" t="inlineStr">
        <is>
          <t>답변 문장이 근거 청크 내용과 일치</t>
        </is>
      </c>
      <c r="C11" s="5" t="inlineStr">
        <is>
          <t>근거 일치 문장 수 / 전체 문장 수</t>
        </is>
      </c>
      <c r="D11" s="5" t="inlineStr">
        <is>
          <t>≥ 0.85</t>
        </is>
      </c>
      <c r="E11" s="5" t="inlineStr">
        <is>
          <t>S13 컨텍스트 · S14 프롬프트</t>
        </is>
      </c>
    </row>
    <row r="12">
      <c r="A12" s="4" t="inlineStr">
        <is>
          <t>인용 정확도</t>
        </is>
      </c>
      <c r="B12" s="5" t="inlineStr">
        <is>
          <t>인용 번호가 실제 근거와 일치</t>
        </is>
      </c>
      <c r="C12" s="5" t="inlineStr">
        <is>
          <t>정확 인용 수 / 전체 인용 수</t>
        </is>
      </c>
      <c r="D12" s="5" t="inlineStr">
        <is>
          <t>≥ 0.90</t>
        </is>
      </c>
      <c r="E12" s="5" t="inlineStr">
        <is>
          <t>S14 인용 규칙</t>
        </is>
      </c>
    </row>
    <row r="13">
      <c r="A13" s="4" t="inlineStr">
        <is>
          <t>모름 정확도</t>
        </is>
      </c>
      <c r="B13" s="5" t="inlineStr">
        <is>
          <t>답 없는 질문에 "자료 없음" 응답</t>
        </is>
      </c>
      <c r="C13" s="5" t="inlineStr">
        <is>
          <t>정답 거절 수 / 답없음 문항 수</t>
        </is>
      </c>
      <c r="D13" s="5" t="inlineStr">
        <is>
          <t>≥ 0.80</t>
        </is>
      </c>
      <c r="E13" s="5" t="inlineStr">
        <is>
          <t>S14 · S29 임계값</t>
        </is>
      </c>
    </row>
    <row r="14">
      <c r="A14" s="4" t="inlineStr">
        <is>
          <t>소스별 편차</t>
        </is>
      </c>
      <c r="B14" s="5" t="inlineStr">
        <is>
          <t>소스별 R@5 최저값과 전체 평균 차</t>
        </is>
      </c>
      <c r="C14" s="5" t="inlineStr">
        <is>
          <t>전체 평균 − 최저 소스</t>
        </is>
      </c>
      <c r="D14" s="5" t="inlineStr">
        <is>
          <t>≤ 0.15</t>
        </is>
      </c>
      <c r="E14" s="5" t="inlineStr">
        <is>
          <t>해당 소스 S02 · S03</t>
        </is>
      </c>
    </row>
    <row r="15">
      <c r="A15" s="4" t="inlineStr">
        <is>
          <t>난이도 편차</t>
        </is>
      </c>
      <c r="B15" s="5" t="inlineStr">
        <is>
          <t>easy − mid R@5 차</t>
        </is>
      </c>
      <c r="C15" s="5" t="inlineStr">
        <is>
          <t>easy 평균 − mid 평균</t>
        </is>
      </c>
      <c r="D15" s="5" t="inlineStr">
        <is>
          <t>≤ 0.15</t>
        </is>
      </c>
      <c r="E15" s="5" t="inlineStr">
        <is>
          <t>어휘 검색 편중 · dense 보강</t>
        </is>
      </c>
    </row>
    <row r="16">
      <c r="A16" s="4" t="inlineStr">
        <is>
          <t>p95 지연</t>
        </is>
      </c>
      <c r="B16" s="5" t="inlineStr">
        <is>
          <t>질의 응답 95 분위 시간</t>
        </is>
      </c>
      <c r="C16" s="5" t="inlineStr">
        <is>
          <t>측정값</t>
        </is>
      </c>
      <c r="D16" s="5" t="inlineStr">
        <is>
          <t>검색 ≤ 2초 · 답변 ≤ 8초</t>
        </is>
      </c>
      <c r="E16" s="5" t="inlineStr">
        <is>
          <t>S12 후보 수 · 모델 크기</t>
        </is>
      </c>
    </row>
  </sheetData>
  <autoFilter ref="A4:E4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14" customWidth="1" min="4" max="4"/>
    <col width="24" customWidth="1" min="5" max="5"/>
    <col width="18" customWidth="1" min="6" max="6"/>
    <col width="10" customWidth="1" min="7" max="7"/>
    <col width="9" customWidth="1" min="8" max="8"/>
    <col width="24" customWidth="1" min="9" max="9"/>
  </cols>
  <sheetData>
    <row r="1">
      <c r="A1" s="8" t="inlineStr">
        <is>
          <t>8. 표준 지표 — 검색(IR) · 생성(RAGAS 계열) · 운영</t>
        </is>
      </c>
    </row>
    <row r="2">
      <c r="A2" s="2" t="inlineStr">
        <is>
          <t>nb10_answer_eval 로 auto 계산 · judge = 사내 LLM 채점 · manual = 20문항 표본 확인 · G · I 열 기입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정의</t>
        </is>
      </c>
      <c r="D4" s="3" t="inlineStr">
        <is>
          <t>계산 방식</t>
        </is>
      </c>
      <c r="E4" s="3" t="inlineStr">
        <is>
          <t>합격 기준</t>
        </is>
      </c>
      <c r="F4" s="3" t="inlineStr">
        <is>
          <t>대응 단계</t>
        </is>
      </c>
      <c r="G4" s="3" t="inlineStr">
        <is>
          <t>측정값</t>
        </is>
      </c>
      <c r="H4" s="3" t="inlineStr">
        <is>
          <t>판정</t>
        </is>
      </c>
      <c r="I4" s="3" t="inlineStr">
        <is>
          <t>비고</t>
        </is>
      </c>
    </row>
    <row r="5">
      <c r="A5" s="19" t="inlineStr">
        <is>
          <t>검색</t>
        </is>
      </c>
      <c r="B5" s="4" t="inlineStr">
        <is>
          <t>Recall@k</t>
        </is>
      </c>
      <c r="C5" s="5" t="inlineStr">
        <is>
          <t>정답 문서가 상위 k 에 포함된 문항 비율</t>
        </is>
      </c>
      <c r="D5" s="19" t="inlineStr">
        <is>
          <t>auto</t>
        </is>
      </c>
      <c r="E5" s="5" t="inlineStr">
        <is>
          <t>R@5 ≥ 0.80 · R@10 ≥ 0.90</t>
        </is>
      </c>
      <c r="F5" s="5" t="inlineStr">
        <is>
          <t>S09 · S10 · S03</t>
        </is>
      </c>
      <c r="G5" s="20" t="inlineStr"/>
      <c r="H5" s="26" t="str">
        <f>IF(G5="","","기준과 대조")</f>
        <v/>
      </c>
      <c r="I5" s="10" t="inlineStr"/>
    </row>
    <row r="6">
      <c r="A6" s="19" t="inlineStr">
        <is>
          <t>검색</t>
        </is>
      </c>
      <c r="B6" s="4" t="inlineStr">
        <is>
          <t>Precision@k</t>
        </is>
      </c>
      <c r="C6" s="5" t="inlineStr">
        <is>
          <t>상위 k 중 정답 관련 비율</t>
        </is>
      </c>
      <c r="D6" s="19" t="inlineStr">
        <is>
          <t>auto</t>
        </is>
      </c>
      <c r="E6" s="5" t="inlineStr">
        <is>
          <t>≥ 0.40 (k=5)</t>
        </is>
      </c>
      <c r="F6" s="5" t="inlineStr">
        <is>
          <t>S11 · S12</t>
        </is>
      </c>
      <c r="G6" s="20" t="inlineStr"/>
      <c r="H6" s="26" t="str">
        <f>IF(G6="","","기준과 대조")</f>
        <v/>
      </c>
      <c r="I6" s="10" t="inlineStr"/>
    </row>
    <row r="7">
      <c r="A7" s="19" t="inlineStr">
        <is>
          <t>검색</t>
        </is>
      </c>
      <c r="B7" s="4" t="inlineStr">
        <is>
          <t>MRR</t>
        </is>
      </c>
      <c r="C7" s="5" t="inlineStr">
        <is>
          <t>첫 정답 순위의 역수 평균</t>
        </is>
      </c>
      <c r="D7" s="19" t="inlineStr">
        <is>
          <t>auto</t>
        </is>
      </c>
      <c r="E7" s="5" t="inlineStr">
        <is>
          <t>≥ 0.65</t>
        </is>
      </c>
      <c r="F7" s="5" t="inlineStr">
        <is>
          <t>S12</t>
        </is>
      </c>
      <c r="G7" s="20" t="inlineStr"/>
      <c r="H7" s="26" t="str">
        <f>IF(G7="","","기준과 대조")</f>
        <v/>
      </c>
      <c r="I7" s="10" t="inlineStr"/>
    </row>
    <row r="8">
      <c r="A8" s="19" t="inlineStr">
        <is>
          <t>검색</t>
        </is>
      </c>
      <c r="B8" s="4" t="inlineStr">
        <is>
          <t>MAP</t>
        </is>
      </c>
      <c r="C8" s="5" t="inlineStr">
        <is>
          <t>정답 위치별 정밀도 평균</t>
        </is>
      </c>
      <c r="D8" s="19" t="inlineStr">
        <is>
          <t>auto</t>
        </is>
      </c>
      <c r="E8" s="5" t="inlineStr">
        <is>
          <t>≥ 0.55</t>
        </is>
      </c>
      <c r="F8" s="5" t="inlineStr">
        <is>
          <t>S11 · S12</t>
        </is>
      </c>
      <c r="G8" s="20" t="inlineStr"/>
      <c r="H8" s="26" t="str">
        <f>IF(G8="","","기준과 대조")</f>
        <v/>
      </c>
      <c r="I8" s="10" t="inlineStr"/>
    </row>
    <row r="9">
      <c r="A9" s="19" t="inlineStr">
        <is>
          <t>검색</t>
        </is>
      </c>
      <c r="B9" s="4" t="inlineStr">
        <is>
          <t>nDCG@10</t>
        </is>
      </c>
      <c r="C9" s="5" t="inlineStr">
        <is>
          <t>순위 가중 정확도</t>
        </is>
      </c>
      <c r="D9" s="19" t="inlineStr">
        <is>
          <t>auto</t>
        </is>
      </c>
      <c r="E9" s="5" t="inlineStr">
        <is>
          <t>≥ 0.70</t>
        </is>
      </c>
      <c r="F9" s="5" t="inlineStr">
        <is>
          <t>S11 · S12</t>
        </is>
      </c>
      <c r="G9" s="20" t="inlineStr"/>
      <c r="H9" s="26" t="str">
        <f>IF(G9="","","기준과 대조")</f>
        <v/>
      </c>
      <c r="I9" s="10" t="inlineStr"/>
    </row>
    <row r="10">
      <c r="A10" s="19" t="inlineStr">
        <is>
          <t>검색</t>
        </is>
      </c>
      <c r="B10" s="4" t="inlineStr">
        <is>
          <t>Hit Rate@k</t>
        </is>
      </c>
      <c r="C10" s="5" t="inlineStr">
        <is>
          <t>정답 1건 이상 포함 비율</t>
        </is>
      </c>
      <c r="D10" s="19" t="inlineStr">
        <is>
          <t>auto</t>
        </is>
      </c>
      <c r="E10" s="5" t="inlineStr">
        <is>
          <t>R@5 와 동일 관리</t>
        </is>
      </c>
      <c r="F10" s="5" t="inlineStr">
        <is>
          <t>S09</t>
        </is>
      </c>
      <c r="G10" s="20" t="inlineStr"/>
      <c r="H10" s="26" t="str">
        <f>IF(G10="","","기준과 대조")</f>
        <v/>
      </c>
      <c r="I10" s="10" t="inlineStr"/>
    </row>
    <row r="11">
      <c r="A11" s="19" t="inlineStr">
        <is>
          <t>검색</t>
        </is>
      </c>
      <c r="B11" s="4" t="inlineStr">
        <is>
          <t>Context Precision</t>
        </is>
      </c>
      <c r="C11" s="5" t="inlineStr">
        <is>
          <t>검색 컨텍스트 중 정답 관련 비율 (RAGAS)</t>
        </is>
      </c>
      <c r="D11" s="19" t="inlineStr">
        <is>
          <t>auto</t>
        </is>
      </c>
      <c r="E11" s="5" t="inlineStr">
        <is>
          <t>≥ 0.50</t>
        </is>
      </c>
      <c r="F11" s="5" t="inlineStr">
        <is>
          <t>S11 · S12 · MMR</t>
        </is>
      </c>
      <c r="G11" s="20" t="inlineStr"/>
      <c r="H11" s="26" t="str">
        <f>IF(G11="","","기준과 대조")</f>
        <v/>
      </c>
      <c r="I11" s="10" t="inlineStr"/>
    </row>
    <row r="12">
      <c r="A12" s="19" t="inlineStr">
        <is>
          <t>검색</t>
        </is>
      </c>
      <c r="B12" s="4" t="inlineStr">
        <is>
          <t>Context Recall</t>
        </is>
      </c>
      <c r="C12" s="5" t="inlineStr">
        <is>
          <t>정답 문장 내용이 컨텍스트에 포함된 비율 (RAGAS)</t>
        </is>
      </c>
      <c r="D12" s="19" t="inlineStr">
        <is>
          <t>auto</t>
        </is>
      </c>
      <c r="E12" s="5" t="inlineStr">
        <is>
          <t>≥ 0.75</t>
        </is>
      </c>
      <c r="F12" s="5" t="inlineStr">
        <is>
          <t>S03 청킹 · S13 컨텍스트</t>
        </is>
      </c>
      <c r="G12" s="20" t="inlineStr"/>
      <c r="H12" s="26" t="str">
        <f>IF(G12="","","기준과 대조")</f>
        <v/>
      </c>
      <c r="I12" s="10" t="inlineStr"/>
    </row>
    <row r="13">
      <c r="A13" s="19" t="inlineStr">
        <is>
          <t>생성</t>
        </is>
      </c>
      <c r="B13" s="4" t="inlineStr">
        <is>
          <t>Faithfulness</t>
        </is>
      </c>
      <c r="C13" s="5" t="inlineStr">
        <is>
          <t>답변 문장 중 근거 있는 비율 (RAGAS)</t>
        </is>
      </c>
      <c r="D13" s="19" t="inlineStr">
        <is>
          <t>auto + judge</t>
        </is>
      </c>
      <c r="E13" s="5" t="inlineStr">
        <is>
          <t>≥ 0.85</t>
        </is>
      </c>
      <c r="F13" s="5" t="inlineStr">
        <is>
          <t>S13 · S14</t>
        </is>
      </c>
      <c r="G13" s="20" t="inlineStr"/>
      <c r="H13" s="26" t="str">
        <f>IF(G13="","","기준과 대조")</f>
        <v/>
      </c>
      <c r="I13" s="10" t="inlineStr"/>
    </row>
    <row r="14">
      <c r="A14" s="19" t="inlineStr">
        <is>
          <t>생성</t>
        </is>
      </c>
      <c r="B14" s="4" t="inlineStr">
        <is>
          <t>Answer Relevancy</t>
        </is>
      </c>
      <c r="C14" s="5" t="inlineStr">
        <is>
          <t>질문과 답변의 의미 정합 (RAGAS)</t>
        </is>
      </c>
      <c r="D14" s="19" t="inlineStr">
        <is>
          <t>auto(임베딩)</t>
        </is>
      </c>
      <c r="E14" s="5" t="inlineStr">
        <is>
          <t>≥ 0.70</t>
        </is>
      </c>
      <c r="F14" s="5" t="inlineStr">
        <is>
          <t>S14 프롬프트</t>
        </is>
      </c>
      <c r="G14" s="20" t="inlineStr"/>
      <c r="H14" s="26" t="str">
        <f>IF(G14="","","기준과 대조")</f>
        <v/>
      </c>
      <c r="I14" s="10" t="inlineStr"/>
    </row>
    <row r="15">
      <c r="A15" s="19" t="inlineStr">
        <is>
          <t>생성</t>
        </is>
      </c>
      <c r="B15" s="4" t="inlineStr">
        <is>
          <t>Answer Correctness</t>
        </is>
      </c>
      <c r="C15" s="5" t="inlineStr">
        <is>
          <t>필수 요소 충족률 (골든셋 기준)</t>
        </is>
      </c>
      <c r="D15" s="19" t="inlineStr">
        <is>
          <t>auto 근사 + judge</t>
        </is>
      </c>
      <c r="E15" s="5" t="inlineStr">
        <is>
          <t>≥ 0.75</t>
        </is>
      </c>
      <c r="F15" s="5" t="inlineStr">
        <is>
          <t>S13 · S14</t>
        </is>
      </c>
      <c r="G15" s="20" t="inlineStr"/>
      <c r="H15" s="26" t="str">
        <f>IF(G15="","","기준과 대조")</f>
        <v/>
      </c>
      <c r="I15" s="10" t="inlineStr"/>
    </row>
    <row r="16">
      <c r="A16" s="19" t="inlineStr">
        <is>
          <t>생성</t>
        </is>
      </c>
      <c r="B16" s="4" t="inlineStr">
        <is>
          <t>Citation Accuracy</t>
        </is>
      </c>
      <c r="C16" s="5" t="inlineStr">
        <is>
          <t>인용 번호가 실제 근거를 지시</t>
        </is>
      </c>
      <c r="D16" s="19" t="inlineStr">
        <is>
          <t>auto</t>
        </is>
      </c>
      <c r="E16" s="5" t="inlineStr">
        <is>
          <t>≥ 0.90</t>
        </is>
      </c>
      <c r="F16" s="5" t="inlineStr">
        <is>
          <t>S14 인용 규칙</t>
        </is>
      </c>
      <c r="G16" s="20" t="inlineStr"/>
      <c r="H16" s="26" t="str">
        <f>IF(G16="","","기준과 대조")</f>
        <v/>
      </c>
      <c r="I16" s="10" t="inlineStr"/>
    </row>
    <row r="17">
      <c r="A17" s="19" t="inlineStr">
        <is>
          <t>생성</t>
        </is>
      </c>
      <c r="B17" s="4" t="inlineStr">
        <is>
          <t>Hallucination Rate</t>
        </is>
      </c>
      <c r="C17" s="5" t="inlineStr">
        <is>
          <t>근거 없는 수치 · 사실 생성 비율</t>
        </is>
      </c>
      <c r="D17" s="19" t="inlineStr">
        <is>
          <t>judge</t>
        </is>
      </c>
      <c r="E17" s="5" t="inlineStr">
        <is>
          <t>≤ 0.05</t>
        </is>
      </c>
      <c r="F17" s="5" t="inlineStr">
        <is>
          <t>S14 · S29 임계</t>
        </is>
      </c>
      <c r="G17" s="20" t="inlineStr"/>
      <c r="H17" s="26" t="str">
        <f>IF(G17="","","기준과 대조")</f>
        <v/>
      </c>
      <c r="I17" s="10" t="inlineStr"/>
    </row>
    <row r="18">
      <c r="A18" s="19" t="inlineStr">
        <is>
          <t>생성</t>
        </is>
      </c>
      <c r="B18" s="4" t="inlineStr">
        <is>
          <t>Refusal Accuracy</t>
        </is>
      </c>
      <c r="C18" s="5" t="inlineStr">
        <is>
          <t>답없음 문항 거절 정확도</t>
        </is>
      </c>
      <c r="D18" s="19" t="inlineStr">
        <is>
          <t>auto</t>
        </is>
      </c>
      <c r="E18" s="5" t="inlineStr">
        <is>
          <t>≥ 0.80</t>
        </is>
      </c>
      <c r="F18" s="5" t="inlineStr">
        <is>
          <t>S14 · 점수 임계</t>
        </is>
      </c>
      <c r="G18" s="20" t="inlineStr"/>
      <c r="H18" s="26" t="str">
        <f>IF(G18="","","기준과 대조")</f>
        <v/>
      </c>
      <c r="I18" s="10" t="inlineStr"/>
    </row>
    <row r="19">
      <c r="A19" s="19" t="inlineStr">
        <is>
          <t>운영</t>
        </is>
      </c>
      <c r="B19" s="4" t="inlineStr">
        <is>
          <t>p95 지연</t>
        </is>
      </c>
      <c r="C19" s="5" t="inlineStr">
        <is>
          <t>질의 응답 95 분위 시간</t>
        </is>
      </c>
      <c r="D19" s="19" t="inlineStr">
        <is>
          <t>auto</t>
        </is>
      </c>
      <c r="E19" s="5" t="inlineStr">
        <is>
          <t>검색 ≤ 2초 · 답변 ≤ 8초</t>
        </is>
      </c>
      <c r="F19" s="5" t="inlineStr">
        <is>
          <t>S12 후보 수</t>
        </is>
      </c>
      <c r="G19" s="20" t="inlineStr"/>
      <c r="H19" s="26" t="str">
        <f>IF(G19="","","기준과 대조")</f>
        <v/>
      </c>
      <c r="I19" s="10" t="inlineStr"/>
    </row>
    <row r="20">
      <c r="A20" s="19" t="inlineStr">
        <is>
          <t>운영</t>
        </is>
      </c>
      <c r="B20" s="4" t="inlineStr">
        <is>
          <t>평가 재현성</t>
        </is>
      </c>
      <c r="C20" s="5" t="inlineStr">
        <is>
          <t>동일 설정 2회 측정 편차</t>
        </is>
      </c>
      <c r="D20" s="19" t="inlineStr">
        <is>
          <t>auto</t>
        </is>
      </c>
      <c r="E20" s="5" t="inlineStr">
        <is>
          <t>≤ 0.02</t>
        </is>
      </c>
      <c r="F20" s="5" t="inlineStr">
        <is>
          <t>캐시 · temperature 0</t>
        </is>
      </c>
      <c r="G20" s="20" t="inlineStr"/>
      <c r="H20" s="26" t="str">
        <f>IF(G20="","","기준과 대조")</f>
        <v/>
      </c>
      <c r="I20" s="10" t="inlineStr"/>
    </row>
    <row r="22">
      <c r="A22" s="27" t="inlineStr">
        <is>
          <t>RAGAS 원 구현은 외부 LLM · 패키지 사용 → 여기서는 동일 정의를 사내 자원(임베딩 · 규칙 · 사내 LLM)으로 근사</t>
        </is>
      </c>
      <c r="B22" s="28" t="n"/>
      <c r="C22" s="28" t="n"/>
      <c r="D22" s="28" t="n"/>
      <c r="E22" s="28" t="n"/>
      <c r="F22" s="28" t="n"/>
      <c r="G22" s="28" t="n"/>
      <c r="H22" s="28" t="n"/>
      <c r="I22" s="7" t="n"/>
    </row>
    <row r="23">
      <c r="A23" s="27" t="inlineStr">
        <is>
          <t>auto 지표는 표현 차이로 과소평가 가능 → 20문항은 사람 교차 확인 권장</t>
        </is>
      </c>
      <c r="B23" s="28" t="n"/>
      <c r="C23" s="28" t="n"/>
      <c r="D23" s="28" t="n"/>
      <c r="E23" s="28" t="n"/>
      <c r="F23" s="28" t="n"/>
      <c r="G23" s="28" t="n"/>
      <c r="H23" s="28" t="n"/>
      <c r="I23" s="7" t="n"/>
    </row>
    <row r="24">
      <c r="A24" s="27" t="inlineStr">
        <is>
          <t>Faithfulness · Hallucination 은 상호 보완 — 둘 다 기록</t>
        </is>
      </c>
      <c r="B24" s="28" t="n"/>
      <c r="C24" s="28" t="n"/>
      <c r="D24" s="28" t="n"/>
      <c r="E24" s="28" t="n"/>
      <c r="F24" s="28" t="n"/>
      <c r="G24" s="28" t="n"/>
      <c r="H24" s="28" t="n"/>
      <c r="I24" s="7" t="n"/>
    </row>
  </sheetData>
  <autoFilter ref="A4:I20"/>
  <mergeCells count="5">
    <mergeCell ref="A2:I2"/>
    <mergeCell ref="A1:I1"/>
    <mergeCell ref="A23:I23"/>
    <mergeCell ref="A22:I22"/>
    <mergeCell ref="A24:I2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2" customWidth="1" min="4" max="4"/>
    <col width="12" customWidth="1" min="5" max="5"/>
    <col width="30" customWidth="1" min="6" max="6"/>
  </cols>
  <sheetData>
    <row r="1">
      <c r="A1" s="8" t="inlineStr">
        <is>
          <t>5. 전후 비교 — 개선 유의성 판정</t>
        </is>
      </c>
    </row>
    <row r="2">
      <c r="A2" s="2" t="inlineStr">
        <is>
          <t>B2 · B3 에 비교할 RUN_ID 기입 → 값 · 차이 · 유의 판정 자동</t>
        </is>
      </c>
    </row>
    <row r="4">
      <c r="A4" s="12" t="inlineStr">
        <is>
          <t>A 회차 (기준)</t>
        </is>
      </c>
      <c r="B4" s="29" t="inlineStr">
        <is>
          <t>RUN-001</t>
        </is>
      </c>
    </row>
    <row r="5">
      <c r="A5" s="12" t="inlineStr">
        <is>
          <t>B 회차 (비교)</t>
        </is>
      </c>
      <c r="B5" s="29" t="inlineStr">
        <is>
          <t>RUN-002</t>
        </is>
      </c>
    </row>
    <row r="6">
      <c r="A6" s="12" t="inlineStr">
        <is>
          <t>문항 수 n</t>
        </is>
      </c>
      <c r="B6" s="17">
        <f>IFERROR(INDEX('3_평가_실행기록'!D:D,MATCH(B4,'3_평가_실행기록'!A:A,0)),0)</f>
        <v>230</v>
      </c>
    </row>
    <row r="8">
      <c r="A8" s="3" t="inlineStr">
        <is>
          <t>지표</t>
        </is>
      </c>
      <c r="B8" s="3" t="inlineStr">
        <is>
          <t>A 값</t>
        </is>
      </c>
      <c r="C8" s="3" t="inlineStr">
        <is>
          <t>B 값</t>
        </is>
      </c>
      <c r="D8" s="3" t="inlineStr">
        <is>
          <t>차이(B−A)</t>
        </is>
      </c>
      <c r="E8" s="3" t="inlineStr">
        <is>
          <t>오차 ±(%p)</t>
        </is>
      </c>
      <c r="F8" s="3" t="inlineStr">
        <is>
          <t>판정</t>
        </is>
      </c>
    </row>
    <row r="9">
      <c r="A9" s="4" t="inlineStr">
        <is>
          <t>R@1</t>
        </is>
      </c>
      <c r="B9" s="30">
        <f>IFERROR(INDEX('3_평가_실행기록'!K:K,MATCH($B$4,'3_평가_실행기록'!A:A,0)),"")</f>
        <v>0.62</v>
      </c>
      <c r="C9" s="30">
        <f>IFERROR(INDEX('3_평가_실행기록'!K:K,MATCH($B$5,'3_평가_실행기록'!A:A,0)),"")</f>
        <v>0.71</v>
      </c>
      <c r="D9" s="30">
        <f>IF(OR(B9="",C9=""),"",C9-B9)</f>
        <v>0.08999999999999997</v>
      </c>
      <c r="E9" s="31">
        <f>IF(OR(B9="",C9="",$B$6=0),"",1.96*SQRT((B9*(1-B9)+C9*(1-C9))/$B$6)*100)</f>
        <v>8.587317240634839</v>
      </c>
      <c r="F9" s="32" t="str">
        <f>IF(D9="","",IF(ABS(D9)*100&gt;E9,IF(D9&gt;0,"개선 (유의)","퇴행 (유의)"),"판단 보류 (오차 이내)"))</f>
        <v>개선 (유의)</v>
      </c>
    </row>
    <row r="10">
      <c r="A10" s="4" t="inlineStr">
        <is>
          <t>R@5</t>
        </is>
      </c>
      <c r="B10" s="30">
        <f>IFERROR(INDEX('3_평가_실행기록'!L:L,MATCH($B$4,'3_평가_실행기록'!A:A,0)),"")</f>
        <v>0.78</v>
      </c>
      <c r="C10" s="30">
        <f>IFERROR(INDEX('3_평가_실행기록'!L:L,MATCH($B$5,'3_평가_실행기록'!A:A,0)),"")</f>
        <v>0.86</v>
      </c>
      <c r="D10" s="30">
        <f>IF(OR(B10="",C10=""),"",C10-B10)</f>
        <v>0.07999999999999996</v>
      </c>
      <c r="E10" s="31">
        <f>IF(OR(B10="",C10="",$B$6=0),"",1.96*SQRT((B10*(1-B10)+C10*(1-C10))/$B$6)*100)</f>
        <v>6.983667903852842</v>
      </c>
      <c r="F10" s="32" t="str">
        <f>IF(D10="","",IF(ABS(D10)*100&gt;E10,IF(D10&gt;0,"개선 (유의)","퇴행 (유의)"),"판단 보류 (오차 이내)"))</f>
        <v>개선 (유의)</v>
      </c>
    </row>
    <row r="11">
      <c r="A11" s="4" t="inlineStr">
        <is>
          <t>R@10</t>
        </is>
      </c>
      <c r="B11" s="30">
        <f>IFERROR(INDEX('3_평가_실행기록'!M:M,MATCH($B$4,'3_평가_실행기록'!A:A,0)),"")</f>
        <v>0.85</v>
      </c>
      <c r="C11" s="30">
        <f>IFERROR(INDEX('3_평가_실행기록'!M:M,MATCH($B$5,'3_평가_실행기록'!A:A,0)),"")</f>
        <v>0.92</v>
      </c>
      <c r="D11" s="30">
        <f>IF(OR(B11="",C11=""),"",C11-B11)</f>
        <v>0.07000000000000006</v>
      </c>
      <c r="E11" s="31">
        <f>IF(OR(B11="",C11="",$B$6=0),"",1.96*SQRT((B11*(1-B11)+C11*(1-C11))/$B$6)*100)</f>
        <v>5.7955971294558175</v>
      </c>
      <c r="F11" s="32" t="str">
        <f>IF(D11="","",IF(ABS(D11)*100&gt;E11,IF(D11&gt;0,"개선 (유의)","퇴행 (유의)"),"판단 보류 (오차 이내)"))</f>
        <v>개선 (유의)</v>
      </c>
    </row>
    <row r="12">
      <c r="A12" s="4" t="inlineStr">
        <is>
          <t>MRR</t>
        </is>
      </c>
      <c r="B12" s="30">
        <f>IFERROR(INDEX('3_평가_실행기록'!N:N,MATCH($B$4,'3_평가_실행기록'!A:A,0)),"")</f>
        <v>0.69</v>
      </c>
      <c r="C12" s="30">
        <f>IFERROR(INDEX('3_평가_실행기록'!N:N,MATCH($B$5,'3_평가_실행기록'!A:A,0)),"")</f>
        <v>0.77</v>
      </c>
      <c r="D12" s="30">
        <f>IF(OR(B12="",C12=""),"",C12-B12)</f>
        <v>0.08000000000000007</v>
      </c>
      <c r="E12" s="31">
        <f>IF(OR(B12="",C12="",$B$6=0),"",1.96*SQRT((B12*(1-B12)+C12*(1-C12))/$B$6)*100)</f>
        <v>8.081287026210616</v>
      </c>
      <c r="F12" s="32" t="str">
        <f>IF(D12="","",IF(ABS(D12)*100&gt;E12,IF(D12&gt;0,"개선 (유의)","퇴행 (유의)"),"판단 보류 (오차 이내)"))</f>
        <v>판단 보류 (오차 이내)</v>
      </c>
    </row>
    <row r="13">
      <c r="A13" s="4" t="inlineStr">
        <is>
          <t>nDCG@10</t>
        </is>
      </c>
      <c r="B13" s="30">
        <f>IFERROR(INDEX('3_평가_실행기록'!O:O,MATCH($B$4,'3_평가_실행기록'!A:A,0)),"")</f>
        <v>0.72</v>
      </c>
      <c r="C13" s="30">
        <f>IFERROR(INDEX('3_평가_실행기록'!O:O,MATCH($B$5,'3_평가_실행기록'!A:A,0)),"")</f>
        <v>0.8</v>
      </c>
      <c r="D13" s="30">
        <f>IF(OR(B13="",C13=""),"",C13-B13)</f>
        <v>0.08000000000000007</v>
      </c>
      <c r="E13" s="31">
        <f>IF(OR(B13="",C13="",$B$6=0),"",1.96*SQRT((B13*(1-B13)+C13*(1-C13))/$B$6)*100)</f>
        <v>7.771527072813826</v>
      </c>
      <c r="F13" s="32" t="str">
        <f>IF(D13="","",IF(ABS(D13)*100&gt;E13,IF(D13&gt;0,"개선 (유의)","퇴행 (유의)"),"판단 보류 (오차 이내)"))</f>
        <v>개선 (유의)</v>
      </c>
    </row>
    <row r="14">
      <c r="A14" s="4" t="inlineStr">
        <is>
          <t>충실도</t>
        </is>
      </c>
      <c r="B14" s="30">
        <f>IFERROR(INDEX('3_평가_실행기록'!P:P,MATCH($B$4,'3_평가_실행기록'!A:A,0)),"")</f>
        <v>0.74</v>
      </c>
      <c r="C14" s="30">
        <f>IFERROR(INDEX('3_평가_실행기록'!P:P,MATCH($B$5,'3_평가_실행기록'!A:A,0)),"")</f>
        <v>0.76</v>
      </c>
      <c r="D14" s="30">
        <f>IF(OR(B14="",C14=""),"",C14-B14)</f>
        <v>0.020000000000000018</v>
      </c>
      <c r="E14" s="31">
        <f>IF(OR(B14="",C14="",$B$6=0),"",1.96*SQRT((B14*(1-B14)+C14*(1-C14))/$B$6)*100)</f>
        <v>7.9121032217296285</v>
      </c>
      <c r="F14" s="32" t="str">
        <f>IF(D14="","",IF(ABS(D14)*100&gt;E14,IF(D14&gt;0,"개선 (유의)","퇴행 (유의)"),"판단 보류 (오차 이내)"))</f>
        <v>판단 보류 (오차 이내)</v>
      </c>
    </row>
    <row r="15">
      <c r="A15" s="4" t="inlineStr">
        <is>
          <t>인용 정확도</t>
        </is>
      </c>
      <c r="B15" s="30">
        <f>IFERROR(INDEX('3_평가_실행기록'!Q:Q,MATCH($B$4,'3_평가_실행기록'!A:A,0)),"")</f>
        <v>0.61</v>
      </c>
      <c r="C15" s="30">
        <f>IFERROR(INDEX('3_평가_실행기록'!Q:Q,MATCH($B$5,'3_평가_실행기록'!A:A,0)),"")</f>
        <v>0.63</v>
      </c>
      <c r="D15" s="30">
        <f>IF(OR(B15="",C15=""),"",C15-B15)</f>
        <v>0.020000000000000018</v>
      </c>
      <c r="E15" s="31">
        <f>IF(OR(B15="",C15="",$B$6=0),"",1.96*SQRT((B15*(1-B15)+C15*(1-C15))/$B$6)*100)</f>
        <v>8.869570843987985</v>
      </c>
      <c r="F15" s="32" t="str">
        <f>IF(D15="","",IF(ABS(D15)*100&gt;E15,IF(D15&gt;0,"개선 (유의)","퇴행 (유의)"),"판단 보류 (오차 이내)"))</f>
        <v>판단 보류 (오차 이내)</v>
      </c>
    </row>
    <row r="16">
      <c r="A16" s="4" t="inlineStr">
        <is>
          <t>모름 정확도</t>
        </is>
      </c>
      <c r="B16" s="30">
        <f>IFERROR(INDEX('3_평가_실행기록'!R:R,MATCH($B$4,'3_평가_실행기록'!A:A,0)),"")</f>
        <v>0.55</v>
      </c>
      <c r="C16" s="30">
        <f>IFERROR(INDEX('3_평가_실행기록'!R:R,MATCH($B$5,'3_평가_실행기록'!A:A,0)),"")</f>
        <v>0.58</v>
      </c>
      <c r="D16" s="30">
        <f>IF(OR(B16="",C16=""),"",C16-B16)</f>
        <v>0.029999999999999916</v>
      </c>
      <c r="E16" s="31">
        <f>IF(OR(B16="",C16="",$B$6=0),"",1.96*SQRT((B16*(1-B16)+C16*(1-C16))/$B$6)*100)</f>
        <v>9.056848861737056</v>
      </c>
      <c r="F16" s="32" t="str">
        <f>IF(D16="","",IF(ABS(D16)*100&gt;E16,IF(D16&gt;0,"개선 (유의)","퇴행 (유의)"),"판단 보류 (오차 이내)"))</f>
        <v>판단 보류 (오차 이내)</v>
      </c>
    </row>
    <row r="18">
      <c r="A18" s="27" t="inlineStr">
        <is>
          <t>판정 기준 — 차이 절대값이 오차 범위를 넘으면 유의</t>
        </is>
      </c>
      <c r="B18" s="28" t="n"/>
      <c r="C18" s="28" t="n"/>
      <c r="D18" s="28" t="n"/>
      <c r="E18" s="28" t="n"/>
      <c r="F18" s="7" t="n"/>
    </row>
    <row r="19">
      <c r="A19" s="27" t="inlineStr">
        <is>
          <t>오차 = 1.96 × √((pA(1−pA)+pB(1−pB))/n) · 문항 수가 적으면 오차 증가</t>
        </is>
      </c>
      <c r="B19" s="28" t="n"/>
      <c r="C19" s="28" t="n"/>
      <c r="D19" s="28" t="n"/>
      <c r="E19" s="28" t="n"/>
      <c r="F19" s="7" t="n"/>
    </row>
    <row r="20">
      <c r="A20" s="27" t="inlineStr">
        <is>
          <t>문항 단위 짝 비교(McNemar)는 6_문항별_결과 시트 참조 — 같은 문항을 비교하므로 검정력 높음</t>
        </is>
      </c>
      <c r="B20" s="28" t="n"/>
      <c r="C20" s="28" t="n"/>
      <c r="D20" s="28" t="n"/>
      <c r="E20" s="28" t="n"/>
      <c r="F20" s="7" t="n"/>
    </row>
  </sheetData>
  <mergeCells count="3">
    <mergeCell ref="A19:F19"/>
    <mergeCell ref="A20:F20"/>
    <mergeCell ref="A18:F18"/>
  </mergeCells>
  <conditionalFormatting sqref="F9:F16">
    <cfRule type="cellIs" priority="1" operator="containsText" dxfId="0">
      <formula>"개선"</formula>
    </cfRule>
    <cfRule type="cellIs" priority="2" operator="containsText" dxfId="2">
      <formula>"퇴행"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2" customWidth="1" min="4" max="4"/>
    <col width="46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26" customWidth="1" min="11" max="11"/>
  </cols>
  <sheetData>
    <row r="1">
      <c r="A1" s="8" t="inlineStr">
        <is>
          <t>6. 문항별 결과 — 개선 · 퇴행 분류</t>
        </is>
      </c>
    </row>
    <row r="2">
      <c r="A2" s="2" t="inlineStr">
        <is>
          <t>nb06 · nb08 의 detail 붙여넣기 (hit@5 는 1 / 0) · H 열 자동</t>
        </is>
      </c>
    </row>
    <row r="4">
      <c r="A4" s="3" t="inlineStr">
        <is>
          <t>qid</t>
        </is>
      </c>
      <c r="B4" s="3" t="inlineStr">
        <is>
          <t>set</t>
        </is>
      </c>
      <c r="C4" s="3" t="inlineStr">
        <is>
          <t>level</t>
        </is>
      </c>
      <c r="D4" s="3" t="inlineStr">
        <is>
          <t>source</t>
        </is>
      </c>
      <c r="E4" s="3" t="inlineStr">
        <is>
          <t>질문</t>
        </is>
      </c>
      <c r="F4" s="3" t="inlineStr">
        <is>
          <t>A hit@5</t>
        </is>
      </c>
      <c r="G4" s="3" t="inlineStr">
        <is>
          <t>B hit@5</t>
        </is>
      </c>
      <c r="H4" s="3" t="inlineStr">
        <is>
          <t>변화</t>
        </is>
      </c>
      <c r="I4" s="3" t="inlineStr">
        <is>
          <t>A 순위</t>
        </is>
      </c>
      <c r="J4" s="3" t="inlineStr">
        <is>
          <t>B 순위</t>
        </is>
      </c>
      <c r="K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23" t="str">
        <f>IF(OR(F5="",G5=""),"",IF(AND(F5=0,G5=1),"개선",IF(AND(F5=1,G5=0),"퇴행","동일")))</f>
        <v/>
      </c>
      <c r="I5" s="10" t="n"/>
      <c r="J5" s="10" t="n"/>
      <c r="K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23" t="str">
        <f>IF(OR(F6="",G6=""),"",IF(AND(F6=0,G6=1),"개선",IF(AND(F6=1,G6=0),"퇴행","동일")))</f>
        <v/>
      </c>
      <c r="I6" s="10" t="n"/>
      <c r="J6" s="10" t="n"/>
      <c r="K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23" t="str">
        <f>IF(OR(F7="",G7=""),"",IF(AND(F7=0,G7=1),"개선",IF(AND(F7=1,G7=0),"퇴행","동일")))</f>
        <v/>
      </c>
      <c r="I7" s="10" t="n"/>
      <c r="J7" s="10" t="n"/>
      <c r="K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23" t="str">
        <f>IF(OR(F8="",G8=""),"",IF(AND(F8=0,G8=1),"개선",IF(AND(F8=1,G8=0),"퇴행","동일")))</f>
        <v/>
      </c>
      <c r="I8" s="10" t="n"/>
      <c r="J8" s="10" t="n"/>
      <c r="K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23" t="str">
        <f>IF(OR(F9="",G9=""),"",IF(AND(F9=0,G9=1),"개선",IF(AND(F9=1,G9=0),"퇴행","동일")))</f>
        <v/>
      </c>
      <c r="I9" s="10" t="n"/>
      <c r="J9" s="10" t="n"/>
      <c r="K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23" t="str">
        <f>IF(OR(F10="",G10=""),"",IF(AND(F10=0,G10=1),"개선",IF(AND(F10=1,G10=0),"퇴행","동일")))</f>
        <v/>
      </c>
      <c r="I10" s="10" t="n"/>
      <c r="J10" s="10" t="n"/>
      <c r="K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23" t="str">
        <f>IF(OR(F11="",G11=""),"",IF(AND(F11=0,G11=1),"개선",IF(AND(F11=1,G11=0),"퇴행","동일")))</f>
        <v/>
      </c>
      <c r="I11" s="10" t="n"/>
      <c r="J11" s="10" t="n"/>
      <c r="K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23" t="str">
        <f>IF(OR(F12="",G12=""),"",IF(AND(F12=0,G12=1),"개선",IF(AND(F12=1,G12=0),"퇴행","동일")))</f>
        <v/>
      </c>
      <c r="I12" s="10" t="n"/>
      <c r="J12" s="10" t="n"/>
      <c r="K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23" t="str">
        <f>IF(OR(F13="",G13=""),"",IF(AND(F13=0,G13=1),"개선",IF(AND(F13=1,G13=0),"퇴행","동일")))</f>
        <v/>
      </c>
      <c r="I13" s="10" t="n"/>
      <c r="J13" s="10" t="n"/>
      <c r="K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23" t="str">
        <f>IF(OR(F14="",G14=""),"",IF(AND(F14=0,G14=1),"개선",IF(AND(F14=1,G14=0),"퇴행","동일")))</f>
        <v/>
      </c>
      <c r="I14" s="10" t="n"/>
      <c r="J14" s="10" t="n"/>
      <c r="K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23" t="str">
        <f>IF(OR(F15="",G15=""),"",IF(AND(F15=0,G15=1),"개선",IF(AND(F15=1,G15=0),"퇴행","동일")))</f>
        <v/>
      </c>
      <c r="I15" s="10" t="n"/>
      <c r="J15" s="10" t="n"/>
      <c r="K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23" t="str">
        <f>IF(OR(F16="",G16=""),"",IF(AND(F16=0,G16=1),"개선",IF(AND(F16=1,G16=0),"퇴행","동일")))</f>
        <v/>
      </c>
      <c r="I16" s="10" t="n"/>
      <c r="J16" s="10" t="n"/>
      <c r="K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23" t="str">
        <f>IF(OR(F17="",G17=""),"",IF(AND(F17=0,G17=1),"개선",IF(AND(F17=1,G17=0),"퇴행","동일")))</f>
        <v/>
      </c>
      <c r="I17" s="10" t="n"/>
      <c r="J17" s="10" t="n"/>
      <c r="K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23" t="str">
        <f>IF(OR(F18="",G18=""),"",IF(AND(F18=0,G18=1),"개선",IF(AND(F18=1,G18=0),"퇴행","동일")))</f>
        <v/>
      </c>
      <c r="I18" s="10" t="n"/>
      <c r="J18" s="10" t="n"/>
      <c r="K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23" t="str">
        <f>IF(OR(F19="",G19=""),"",IF(AND(F19=0,G19=1),"개선",IF(AND(F19=1,G19=0),"퇴행","동일")))</f>
        <v/>
      </c>
      <c r="I19" s="10" t="n"/>
      <c r="J19" s="10" t="n"/>
      <c r="K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23" t="str">
        <f>IF(OR(F20="",G20=""),"",IF(AND(F20=0,G20=1),"개선",IF(AND(F20=1,G20=0),"퇴행","동일")))</f>
        <v/>
      </c>
      <c r="I20" s="10" t="n"/>
      <c r="J20" s="10" t="n"/>
      <c r="K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23" t="str">
        <f>IF(OR(F21="",G21=""),"",IF(AND(F21=0,G21=1),"개선",IF(AND(F21=1,G21=0),"퇴행","동일")))</f>
        <v/>
      </c>
      <c r="I21" s="10" t="n"/>
      <c r="J21" s="10" t="n"/>
      <c r="K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23" t="str">
        <f>IF(OR(F22="",G22=""),"",IF(AND(F22=0,G22=1),"개선",IF(AND(F22=1,G22=0),"퇴행","동일")))</f>
        <v/>
      </c>
      <c r="I22" s="10" t="n"/>
      <c r="J22" s="10" t="n"/>
      <c r="K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23" t="str">
        <f>IF(OR(F23="",G23=""),"",IF(AND(F23=0,G23=1),"개선",IF(AND(F23=1,G23=0),"퇴행","동일")))</f>
        <v/>
      </c>
      <c r="I23" s="10" t="n"/>
      <c r="J23" s="10" t="n"/>
      <c r="K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23" t="str">
        <f>IF(OR(F24="",G24=""),"",IF(AND(F24=0,G24=1),"개선",IF(AND(F24=1,G24=0),"퇴행","동일")))</f>
        <v/>
      </c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23" t="str">
        <f>IF(OR(F25="",G25=""),"",IF(AND(F25=0,G25=1),"개선",IF(AND(F25=1,G25=0),"퇴행","동일")))</f>
        <v/>
      </c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23" t="str">
        <f>IF(OR(F26="",G26=""),"",IF(AND(F26=0,G26=1),"개선",IF(AND(F26=1,G26=0),"퇴행","동일")))</f>
        <v/>
      </c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23" t="str">
        <f>IF(OR(F27="",G27=""),"",IF(AND(F27=0,G27=1),"개선",IF(AND(F27=1,G27=0),"퇴행","동일")))</f>
        <v/>
      </c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23" t="str">
        <f>IF(OR(F28="",G28=""),"",IF(AND(F28=0,G28=1),"개선",IF(AND(F28=1,G28=0),"퇴행","동일")))</f>
        <v/>
      </c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23" t="str">
        <f>IF(OR(F29="",G29=""),"",IF(AND(F29=0,G29=1),"개선",IF(AND(F29=1,G29=0),"퇴행","동일")))</f>
        <v/>
      </c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23" t="str">
        <f>IF(OR(F30="",G30=""),"",IF(AND(F30=0,G30=1),"개선",IF(AND(F30=1,G30=0),"퇴행","동일")))</f>
        <v/>
      </c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23" t="str">
        <f>IF(OR(F31="",G31=""),"",IF(AND(F31=0,G31=1),"개선",IF(AND(F31=1,G31=0),"퇴행","동일")))</f>
        <v/>
      </c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23" t="str">
        <f>IF(OR(F32="",G32=""),"",IF(AND(F32=0,G32=1),"개선",IF(AND(F32=1,G32=0),"퇴행","동일")))</f>
        <v/>
      </c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23" t="str">
        <f>IF(OR(F33="",G33=""),"",IF(AND(F33=0,G33=1),"개선",IF(AND(F33=1,G33=0),"퇴행","동일")))</f>
        <v/>
      </c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23" t="str">
        <f>IF(OR(F34="",G34=""),"",IF(AND(F34=0,G34=1),"개선",IF(AND(F34=1,G34=0),"퇴행","동일")))</f>
        <v/>
      </c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23" t="str">
        <f>IF(OR(F35="",G35=""),"",IF(AND(F35=0,G35=1),"개선",IF(AND(F35=1,G35=0),"퇴행","동일")))</f>
        <v/>
      </c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23" t="str">
        <f>IF(OR(F36="",G36=""),"",IF(AND(F36=0,G36=1),"개선",IF(AND(F36=1,G36=0),"퇴행","동일")))</f>
        <v/>
      </c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23" t="str">
        <f>IF(OR(F37="",G37=""),"",IF(AND(F37=0,G37=1),"개선",IF(AND(F37=1,G37=0),"퇴행","동일")))</f>
        <v/>
      </c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23" t="str">
        <f>IF(OR(F38="",G38=""),"",IF(AND(F38=0,G38=1),"개선",IF(AND(F38=1,G38=0),"퇴행","동일")))</f>
        <v/>
      </c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23" t="str">
        <f>IF(OR(F39="",G39=""),"",IF(AND(F39=0,G39=1),"개선",IF(AND(F39=1,G39=0),"퇴행","동일")))</f>
        <v/>
      </c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23" t="str">
        <f>IF(OR(F40="",G40=""),"",IF(AND(F40=0,G40=1),"개선",IF(AND(F40=1,G40=0),"퇴행","동일")))</f>
        <v/>
      </c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23" t="str">
        <f>IF(OR(F41="",G41=""),"",IF(AND(F41=0,G41=1),"개선",IF(AND(F41=1,G41=0),"퇴행","동일")))</f>
        <v/>
      </c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23" t="str">
        <f>IF(OR(F42="",G42=""),"",IF(AND(F42=0,G42=1),"개선",IF(AND(F42=1,G42=0),"퇴행","동일")))</f>
        <v/>
      </c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23" t="str">
        <f>IF(OR(F43="",G43=""),"",IF(AND(F43=0,G43=1),"개선",IF(AND(F43=1,G43=0),"퇴행","동일")))</f>
        <v/>
      </c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23" t="str">
        <f>IF(OR(F44="",G44=""),"",IF(AND(F44=0,G44=1),"개선",IF(AND(F44=1,G44=0),"퇴행","동일")))</f>
        <v/>
      </c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23" t="str">
        <f>IF(OR(F45="",G45=""),"",IF(AND(F45=0,G45=1),"개선",IF(AND(F45=1,G45=0),"퇴행","동일")))</f>
        <v/>
      </c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23" t="str">
        <f>IF(OR(F46="",G46=""),"",IF(AND(F46=0,G46=1),"개선",IF(AND(F46=1,G46=0),"퇴행","동일")))</f>
        <v/>
      </c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23" t="str">
        <f>IF(OR(F47="",G47=""),"",IF(AND(F47=0,G47=1),"개선",IF(AND(F47=1,G47=0),"퇴행","동일")))</f>
        <v/>
      </c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23" t="str">
        <f>IF(OR(F48="",G48=""),"",IF(AND(F48=0,G48=1),"개선",IF(AND(F48=1,G48=0),"퇴행","동일")))</f>
        <v/>
      </c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23" t="str">
        <f>IF(OR(F49="",G49=""),"",IF(AND(F49=0,G49=1),"개선",IF(AND(F49=1,G49=0),"퇴행","동일")))</f>
        <v/>
      </c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23" t="str">
        <f>IF(OR(F50="",G50=""),"",IF(AND(F50=0,G50=1),"개선",IF(AND(F50=1,G50=0),"퇴행","동일")))</f>
        <v/>
      </c>
      <c r="I50" s="10" t="n"/>
      <c r="J50" s="10" t="n"/>
      <c r="K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23" t="str">
        <f>IF(OR(F51="",G51=""),"",IF(AND(F51=0,G51=1),"개선",IF(AND(F51=1,G51=0),"퇴행","동일")))</f>
        <v/>
      </c>
      <c r="I51" s="10" t="n"/>
      <c r="J51" s="10" t="n"/>
      <c r="K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23" t="str">
        <f>IF(OR(F52="",G52=""),"",IF(AND(F52=0,G52=1),"개선",IF(AND(F52=1,G52=0),"퇴행","동일")))</f>
        <v/>
      </c>
      <c r="I52" s="10" t="n"/>
      <c r="J52" s="10" t="n"/>
      <c r="K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23" t="str">
        <f>IF(OR(F53="",G53=""),"",IF(AND(F53=0,G53=1),"개선",IF(AND(F53=1,G53=0),"퇴행","동일")))</f>
        <v/>
      </c>
      <c r="I53" s="10" t="n"/>
      <c r="J53" s="10" t="n"/>
      <c r="K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23" t="str">
        <f>IF(OR(F54="",G54=""),"",IF(AND(F54=0,G54=1),"개선",IF(AND(F54=1,G54=0),"퇴행","동일")))</f>
        <v/>
      </c>
      <c r="I54" s="10" t="n"/>
      <c r="J54" s="10" t="n"/>
      <c r="K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23" t="str">
        <f>IF(OR(F55="",G55=""),"",IF(AND(F55=0,G55=1),"개선",IF(AND(F55=1,G55=0),"퇴행","동일")))</f>
        <v/>
      </c>
      <c r="I55" s="10" t="n"/>
      <c r="J55" s="10" t="n"/>
      <c r="K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23" t="str">
        <f>IF(OR(F56="",G56=""),"",IF(AND(F56=0,G56=1),"개선",IF(AND(F56=1,G56=0),"퇴행","동일")))</f>
        <v/>
      </c>
      <c r="I56" s="10" t="n"/>
      <c r="J56" s="10" t="n"/>
      <c r="K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23" t="str">
        <f>IF(OR(F57="",G57=""),"",IF(AND(F57=0,G57=1),"개선",IF(AND(F57=1,G57=0),"퇴행","동일")))</f>
        <v/>
      </c>
      <c r="I57" s="10" t="n"/>
      <c r="J57" s="10" t="n"/>
      <c r="K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23" t="str">
        <f>IF(OR(F58="",G58=""),"",IF(AND(F58=0,G58=1),"개선",IF(AND(F58=1,G58=0),"퇴행","동일")))</f>
        <v/>
      </c>
      <c r="I58" s="10" t="n"/>
      <c r="J58" s="10" t="n"/>
      <c r="K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23" t="str">
        <f>IF(OR(F59="",G59=""),"",IF(AND(F59=0,G59=1),"개선",IF(AND(F59=1,G59=0),"퇴행","동일")))</f>
        <v/>
      </c>
      <c r="I59" s="10" t="n"/>
      <c r="J59" s="10" t="n"/>
      <c r="K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23" t="str">
        <f>IF(OR(F60="",G60=""),"",IF(AND(F60=0,G60=1),"개선",IF(AND(F60=1,G60=0),"퇴행","동일")))</f>
        <v/>
      </c>
      <c r="I60" s="10" t="n"/>
      <c r="J60" s="10" t="n"/>
      <c r="K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23" t="str">
        <f>IF(OR(F61="",G61=""),"",IF(AND(F61=0,G61=1),"개선",IF(AND(F61=1,G61=0),"퇴행","동일")))</f>
        <v/>
      </c>
      <c r="I61" s="10" t="n"/>
      <c r="J61" s="10" t="n"/>
      <c r="K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23" t="str">
        <f>IF(OR(F62="",G62=""),"",IF(AND(F62=0,G62=1),"개선",IF(AND(F62=1,G62=0),"퇴행","동일")))</f>
        <v/>
      </c>
      <c r="I62" s="10" t="n"/>
      <c r="J62" s="10" t="n"/>
      <c r="K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23" t="str">
        <f>IF(OR(F63="",G63=""),"",IF(AND(F63=0,G63=1),"개선",IF(AND(F63=1,G63=0),"퇴행","동일")))</f>
        <v/>
      </c>
      <c r="I63" s="10" t="n"/>
      <c r="J63" s="10" t="n"/>
      <c r="K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23" t="str">
        <f>IF(OR(F64="",G64=""),"",IF(AND(F64=0,G64=1),"개선",IF(AND(F64=1,G64=0),"퇴행","동일")))</f>
        <v/>
      </c>
      <c r="I64" s="10" t="n"/>
      <c r="J64" s="10" t="n"/>
      <c r="K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23" t="str">
        <f>IF(OR(F65="",G65=""),"",IF(AND(F65=0,G65=1),"개선",IF(AND(F65=1,G65=0),"퇴행","동일")))</f>
        <v/>
      </c>
      <c r="I65" s="10" t="n"/>
      <c r="J65" s="10" t="n"/>
      <c r="K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23" t="str">
        <f>IF(OR(F66="",G66=""),"",IF(AND(F66=0,G66=1),"개선",IF(AND(F66=1,G66=0),"퇴행","동일")))</f>
        <v/>
      </c>
      <c r="I66" s="10" t="n"/>
      <c r="J66" s="10" t="n"/>
      <c r="K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23" t="str">
        <f>IF(OR(F67="",G67=""),"",IF(AND(F67=0,G67=1),"개선",IF(AND(F67=1,G67=0),"퇴행","동일")))</f>
        <v/>
      </c>
      <c r="I67" s="10" t="n"/>
      <c r="J67" s="10" t="n"/>
      <c r="K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23" t="str">
        <f>IF(OR(F68="",G68=""),"",IF(AND(F68=0,G68=1),"개선",IF(AND(F68=1,G68=0),"퇴행","동일")))</f>
        <v/>
      </c>
      <c r="I68" s="10" t="n"/>
      <c r="J68" s="10" t="n"/>
      <c r="K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23" t="str">
        <f>IF(OR(F69="",G69=""),"",IF(AND(F69=0,G69=1),"개선",IF(AND(F69=1,G69=0),"퇴행","동일")))</f>
        <v/>
      </c>
      <c r="I69" s="10" t="n"/>
      <c r="J69" s="10" t="n"/>
      <c r="K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23" t="str">
        <f>IF(OR(F70="",G70=""),"",IF(AND(F70=0,G70=1),"개선",IF(AND(F70=1,G70=0),"퇴행","동일")))</f>
        <v/>
      </c>
      <c r="I70" s="10" t="n"/>
      <c r="J70" s="10" t="n"/>
      <c r="K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23" t="str">
        <f>IF(OR(F71="",G71=""),"",IF(AND(F71=0,G71=1),"개선",IF(AND(F71=1,G71=0),"퇴행","동일")))</f>
        <v/>
      </c>
      <c r="I71" s="10" t="n"/>
      <c r="J71" s="10" t="n"/>
      <c r="K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23" t="str">
        <f>IF(OR(F72="",G72=""),"",IF(AND(F72=0,G72=1),"개선",IF(AND(F72=1,G72=0),"퇴행","동일")))</f>
        <v/>
      </c>
      <c r="I72" s="10" t="n"/>
      <c r="J72" s="10" t="n"/>
      <c r="K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23" t="str">
        <f>IF(OR(F73="",G73=""),"",IF(AND(F73=0,G73=1),"개선",IF(AND(F73=1,G73=0),"퇴행","동일")))</f>
        <v/>
      </c>
      <c r="I73" s="10" t="n"/>
      <c r="J73" s="10" t="n"/>
      <c r="K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23" t="str">
        <f>IF(OR(F74="",G74=""),"",IF(AND(F74=0,G74=1),"개선",IF(AND(F74=1,G74=0),"퇴행","동일")))</f>
        <v/>
      </c>
      <c r="I74" s="10" t="n"/>
      <c r="J74" s="10" t="n"/>
      <c r="K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23" t="str">
        <f>IF(OR(F75="",G75=""),"",IF(AND(F75=0,G75=1),"개선",IF(AND(F75=1,G75=0),"퇴행","동일")))</f>
        <v/>
      </c>
      <c r="I75" s="10" t="n"/>
      <c r="J75" s="10" t="n"/>
      <c r="K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23" t="str">
        <f>IF(OR(F76="",G76=""),"",IF(AND(F76=0,G76=1),"개선",IF(AND(F76=1,G76=0),"퇴행","동일")))</f>
        <v/>
      </c>
      <c r="I76" s="10" t="n"/>
      <c r="J76" s="10" t="n"/>
      <c r="K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23" t="str">
        <f>IF(OR(F77="",G77=""),"",IF(AND(F77=0,G77=1),"개선",IF(AND(F77=1,G77=0),"퇴행","동일")))</f>
        <v/>
      </c>
      <c r="I77" s="10" t="n"/>
      <c r="J77" s="10" t="n"/>
      <c r="K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23" t="str">
        <f>IF(OR(F78="",G78=""),"",IF(AND(F78=0,G78=1),"개선",IF(AND(F78=1,G78=0),"퇴행","동일")))</f>
        <v/>
      </c>
      <c r="I78" s="10" t="n"/>
      <c r="J78" s="10" t="n"/>
      <c r="K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23" t="str">
        <f>IF(OR(F79="",G79=""),"",IF(AND(F79=0,G79=1),"개선",IF(AND(F79=1,G79=0),"퇴행","동일")))</f>
        <v/>
      </c>
      <c r="I79" s="10" t="n"/>
      <c r="J79" s="10" t="n"/>
      <c r="K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23" t="str">
        <f>IF(OR(F80="",G80=""),"",IF(AND(F80=0,G80=1),"개선",IF(AND(F80=1,G80=0),"퇴행","동일")))</f>
        <v/>
      </c>
      <c r="I80" s="10" t="n"/>
      <c r="J80" s="10" t="n"/>
      <c r="K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23" t="str">
        <f>IF(OR(F81="",G81=""),"",IF(AND(F81=0,G81=1),"개선",IF(AND(F81=1,G81=0),"퇴행","동일")))</f>
        <v/>
      </c>
      <c r="I81" s="10" t="n"/>
      <c r="J81" s="10" t="n"/>
      <c r="K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23" t="str">
        <f>IF(OR(F82="",G82=""),"",IF(AND(F82=0,G82=1),"개선",IF(AND(F82=1,G82=0),"퇴행","동일")))</f>
        <v/>
      </c>
      <c r="I82" s="10" t="n"/>
      <c r="J82" s="10" t="n"/>
      <c r="K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23" t="str">
        <f>IF(OR(F83="",G83=""),"",IF(AND(F83=0,G83=1),"개선",IF(AND(F83=1,G83=0),"퇴행","동일")))</f>
        <v/>
      </c>
      <c r="I83" s="10" t="n"/>
      <c r="J83" s="10" t="n"/>
      <c r="K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23" t="str">
        <f>IF(OR(F84="",G84=""),"",IF(AND(F84=0,G84=1),"개선",IF(AND(F84=1,G84=0),"퇴행","동일")))</f>
        <v/>
      </c>
      <c r="I84" s="10" t="n"/>
      <c r="J84" s="10" t="n"/>
      <c r="K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23" t="str">
        <f>IF(OR(F85="",G85=""),"",IF(AND(F85=0,G85=1),"개선",IF(AND(F85=1,G85=0),"퇴행","동일")))</f>
        <v/>
      </c>
      <c r="I85" s="10" t="n"/>
      <c r="J85" s="10" t="n"/>
      <c r="K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23" t="str">
        <f>IF(OR(F86="",G86=""),"",IF(AND(F86=0,G86=1),"개선",IF(AND(F86=1,G86=0),"퇴행","동일")))</f>
        <v/>
      </c>
      <c r="I86" s="10" t="n"/>
      <c r="J86" s="10" t="n"/>
      <c r="K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23" t="str">
        <f>IF(OR(F87="",G87=""),"",IF(AND(F87=0,G87=1),"개선",IF(AND(F87=1,G87=0),"퇴행","동일")))</f>
        <v/>
      </c>
      <c r="I87" s="10" t="n"/>
      <c r="J87" s="10" t="n"/>
      <c r="K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23" t="str">
        <f>IF(OR(F88="",G88=""),"",IF(AND(F88=0,G88=1),"개선",IF(AND(F88=1,G88=0),"퇴행","동일")))</f>
        <v/>
      </c>
      <c r="I88" s="10" t="n"/>
      <c r="J88" s="10" t="n"/>
      <c r="K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23" t="str">
        <f>IF(OR(F89="",G89=""),"",IF(AND(F89=0,G89=1),"개선",IF(AND(F89=1,G89=0),"퇴행","동일")))</f>
        <v/>
      </c>
      <c r="I89" s="10" t="n"/>
      <c r="J89" s="10" t="n"/>
      <c r="K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23" t="str">
        <f>IF(OR(F90="",G90=""),"",IF(AND(F90=0,G90=1),"개선",IF(AND(F90=1,G90=0),"퇴행","동일")))</f>
        <v/>
      </c>
      <c r="I90" s="10" t="n"/>
      <c r="J90" s="10" t="n"/>
      <c r="K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23" t="str">
        <f>IF(OR(F91="",G91=""),"",IF(AND(F91=0,G91=1),"개선",IF(AND(F91=1,G91=0),"퇴행","동일")))</f>
        <v/>
      </c>
      <c r="I91" s="10" t="n"/>
      <c r="J91" s="10" t="n"/>
      <c r="K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23" t="str">
        <f>IF(OR(F92="",G92=""),"",IF(AND(F92=0,G92=1),"개선",IF(AND(F92=1,G92=0),"퇴행","동일")))</f>
        <v/>
      </c>
      <c r="I92" s="10" t="n"/>
      <c r="J92" s="10" t="n"/>
      <c r="K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23" t="str">
        <f>IF(OR(F93="",G93=""),"",IF(AND(F93=0,G93=1),"개선",IF(AND(F93=1,G93=0),"퇴행","동일")))</f>
        <v/>
      </c>
      <c r="I93" s="10" t="n"/>
      <c r="J93" s="10" t="n"/>
      <c r="K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23" t="str">
        <f>IF(OR(F94="",G94=""),"",IF(AND(F94=0,G94=1),"개선",IF(AND(F94=1,G94=0),"퇴행","동일")))</f>
        <v/>
      </c>
      <c r="I94" s="10" t="n"/>
      <c r="J94" s="10" t="n"/>
      <c r="K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23" t="str">
        <f>IF(OR(F95="",G95=""),"",IF(AND(F95=0,G95=1),"개선",IF(AND(F95=1,G95=0),"퇴행","동일")))</f>
        <v/>
      </c>
      <c r="I95" s="10" t="n"/>
      <c r="J95" s="10" t="n"/>
      <c r="K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23" t="str">
        <f>IF(OR(F96="",G96=""),"",IF(AND(F96=0,G96=1),"개선",IF(AND(F96=1,G96=0),"퇴행","동일")))</f>
        <v/>
      </c>
      <c r="I96" s="10" t="n"/>
      <c r="J96" s="10" t="n"/>
      <c r="K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23" t="str">
        <f>IF(OR(F97="",G97=""),"",IF(AND(F97=0,G97=1),"개선",IF(AND(F97=1,G97=0),"퇴행","동일")))</f>
        <v/>
      </c>
      <c r="I97" s="10" t="n"/>
      <c r="J97" s="10" t="n"/>
      <c r="K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23" t="str">
        <f>IF(OR(F98="",G98=""),"",IF(AND(F98=0,G98=1),"개선",IF(AND(F98=1,G98=0),"퇴행","동일")))</f>
        <v/>
      </c>
      <c r="I98" s="10" t="n"/>
      <c r="J98" s="10" t="n"/>
      <c r="K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23" t="str">
        <f>IF(OR(F99="",G99=""),"",IF(AND(F99=0,G99=1),"개선",IF(AND(F99=1,G99=0),"퇴행","동일")))</f>
        <v/>
      </c>
      <c r="I99" s="10" t="n"/>
      <c r="J99" s="10" t="n"/>
      <c r="K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23" t="str">
        <f>IF(OR(F100="",G100=""),"",IF(AND(F100=0,G100=1),"개선",IF(AND(F100=1,G100=0),"퇴행","동일")))</f>
        <v/>
      </c>
      <c r="I100" s="10" t="n"/>
      <c r="J100" s="10" t="n"/>
      <c r="K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23" t="str">
        <f>IF(OR(F101="",G101=""),"",IF(AND(F101=0,G101=1),"개선",IF(AND(F101=1,G101=0),"퇴행","동일")))</f>
        <v/>
      </c>
      <c r="I101" s="10" t="n"/>
      <c r="J101" s="10" t="n"/>
      <c r="K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23" t="str">
        <f>IF(OR(F102="",G102=""),"",IF(AND(F102=0,G102=1),"개선",IF(AND(F102=1,G102=0),"퇴행","동일")))</f>
        <v/>
      </c>
      <c r="I102" s="10" t="n"/>
      <c r="J102" s="10" t="n"/>
      <c r="K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23" t="str">
        <f>IF(OR(F103="",G103=""),"",IF(AND(F103=0,G103=1),"개선",IF(AND(F103=1,G103=0),"퇴행","동일")))</f>
        <v/>
      </c>
      <c r="I103" s="10" t="n"/>
      <c r="J103" s="10" t="n"/>
      <c r="K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23" t="str">
        <f>IF(OR(F104="",G104=""),"",IF(AND(F104=0,G104=1),"개선",IF(AND(F104=1,G104=0),"퇴행","동일")))</f>
        <v/>
      </c>
      <c r="I104" s="10" t="n"/>
      <c r="J104" s="10" t="n"/>
      <c r="K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23" t="str">
        <f>IF(OR(F105="",G105=""),"",IF(AND(F105=0,G105=1),"개선",IF(AND(F105=1,G105=0),"퇴행","동일")))</f>
        <v/>
      </c>
      <c r="I105" s="10" t="n"/>
      <c r="J105" s="10" t="n"/>
      <c r="K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23" t="str">
        <f>IF(OR(F106="",G106=""),"",IF(AND(F106=0,G106=1),"개선",IF(AND(F106=1,G106=0),"퇴행","동일")))</f>
        <v/>
      </c>
      <c r="I106" s="10" t="n"/>
      <c r="J106" s="10" t="n"/>
      <c r="K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23" t="str">
        <f>IF(OR(F107="",G107=""),"",IF(AND(F107=0,G107=1),"개선",IF(AND(F107=1,G107=0),"퇴행","동일")))</f>
        <v/>
      </c>
      <c r="I107" s="10" t="n"/>
      <c r="J107" s="10" t="n"/>
      <c r="K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23" t="str">
        <f>IF(OR(F108="",G108=""),"",IF(AND(F108=0,G108=1),"개선",IF(AND(F108=1,G108=0),"퇴행","동일")))</f>
        <v/>
      </c>
      <c r="I108" s="10" t="n"/>
      <c r="J108" s="10" t="n"/>
      <c r="K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23" t="str">
        <f>IF(OR(F109="",G109=""),"",IF(AND(F109=0,G109=1),"개선",IF(AND(F109=1,G109=0),"퇴행","동일")))</f>
        <v/>
      </c>
      <c r="I109" s="10" t="n"/>
      <c r="J109" s="10" t="n"/>
      <c r="K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23" t="str">
        <f>IF(OR(F110="",G110=""),"",IF(AND(F110=0,G110=1),"개선",IF(AND(F110=1,G110=0),"퇴행","동일")))</f>
        <v/>
      </c>
      <c r="I110" s="10" t="n"/>
      <c r="J110" s="10" t="n"/>
      <c r="K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23" t="str">
        <f>IF(OR(F111="",G111=""),"",IF(AND(F111=0,G111=1),"개선",IF(AND(F111=1,G111=0),"퇴행","동일")))</f>
        <v/>
      </c>
      <c r="I111" s="10" t="n"/>
      <c r="J111" s="10" t="n"/>
      <c r="K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23" t="str">
        <f>IF(OR(F112="",G112=""),"",IF(AND(F112=0,G112=1),"개선",IF(AND(F112=1,G112=0),"퇴행","동일")))</f>
        <v/>
      </c>
      <c r="I112" s="10" t="n"/>
      <c r="J112" s="10" t="n"/>
      <c r="K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23" t="str">
        <f>IF(OR(F113="",G113=""),"",IF(AND(F113=0,G113=1),"개선",IF(AND(F113=1,G113=0),"퇴행","동일")))</f>
        <v/>
      </c>
      <c r="I113" s="10" t="n"/>
      <c r="J113" s="10" t="n"/>
      <c r="K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23" t="str">
        <f>IF(OR(F114="",G114=""),"",IF(AND(F114=0,G114=1),"개선",IF(AND(F114=1,G114=0),"퇴행","동일")))</f>
        <v/>
      </c>
      <c r="I114" s="10" t="n"/>
      <c r="J114" s="10" t="n"/>
      <c r="K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23" t="str">
        <f>IF(OR(F115="",G115=""),"",IF(AND(F115=0,G115=1),"개선",IF(AND(F115=1,G115=0),"퇴행","동일")))</f>
        <v/>
      </c>
      <c r="I115" s="10" t="n"/>
      <c r="J115" s="10" t="n"/>
      <c r="K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23" t="str">
        <f>IF(OR(F116="",G116=""),"",IF(AND(F116=0,G116=1),"개선",IF(AND(F116=1,G116=0),"퇴행","동일")))</f>
        <v/>
      </c>
      <c r="I116" s="10" t="n"/>
      <c r="J116" s="10" t="n"/>
      <c r="K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23" t="str">
        <f>IF(OR(F117="",G117=""),"",IF(AND(F117=0,G117=1),"개선",IF(AND(F117=1,G117=0),"퇴행","동일")))</f>
        <v/>
      </c>
      <c r="I117" s="10" t="n"/>
      <c r="J117" s="10" t="n"/>
      <c r="K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23" t="str">
        <f>IF(OR(F118="",G118=""),"",IF(AND(F118=0,G118=1),"개선",IF(AND(F118=1,G118=0),"퇴행","동일")))</f>
        <v/>
      </c>
      <c r="I118" s="10" t="n"/>
      <c r="J118" s="10" t="n"/>
      <c r="K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23" t="str">
        <f>IF(OR(F119="",G119=""),"",IF(AND(F119=0,G119=1),"개선",IF(AND(F119=1,G119=0),"퇴행","동일")))</f>
        <v/>
      </c>
      <c r="I119" s="10" t="n"/>
      <c r="J119" s="10" t="n"/>
      <c r="K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23" t="str">
        <f>IF(OR(F120="",G120=""),"",IF(AND(F120=0,G120=1),"개선",IF(AND(F120=1,G120=0),"퇴행","동일")))</f>
        <v/>
      </c>
      <c r="I120" s="10" t="n"/>
      <c r="J120" s="10" t="n"/>
      <c r="K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23" t="str">
        <f>IF(OR(F121="",G121=""),"",IF(AND(F121=0,G121=1),"개선",IF(AND(F121=1,G121=0),"퇴행","동일")))</f>
        <v/>
      </c>
      <c r="I121" s="10" t="n"/>
      <c r="J121" s="10" t="n"/>
      <c r="K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23" t="str">
        <f>IF(OR(F122="",G122=""),"",IF(AND(F122=0,G122=1),"개선",IF(AND(F122=1,G122=0),"퇴행","동일")))</f>
        <v/>
      </c>
      <c r="I122" s="10" t="n"/>
      <c r="J122" s="10" t="n"/>
      <c r="K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23" t="str">
        <f>IF(OR(F123="",G123=""),"",IF(AND(F123=0,G123=1),"개선",IF(AND(F123=1,G123=0),"퇴행","동일")))</f>
        <v/>
      </c>
      <c r="I123" s="10" t="n"/>
      <c r="J123" s="10" t="n"/>
      <c r="K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23" t="str">
        <f>IF(OR(F124="",G124=""),"",IF(AND(F124=0,G124=1),"개선",IF(AND(F124=1,G124=0),"퇴행","동일")))</f>
        <v/>
      </c>
      <c r="I124" s="10" t="n"/>
      <c r="J124" s="10" t="n"/>
      <c r="K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23" t="str">
        <f>IF(OR(F125="",G125=""),"",IF(AND(F125=0,G125=1),"개선",IF(AND(F125=1,G125=0),"퇴행","동일")))</f>
        <v/>
      </c>
      <c r="I125" s="10" t="n"/>
      <c r="J125" s="10" t="n"/>
      <c r="K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23" t="str">
        <f>IF(OR(F126="",G126=""),"",IF(AND(F126=0,G126=1),"개선",IF(AND(F126=1,G126=0),"퇴행","동일")))</f>
        <v/>
      </c>
      <c r="I126" s="10" t="n"/>
      <c r="J126" s="10" t="n"/>
      <c r="K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23" t="str">
        <f>IF(OR(F127="",G127=""),"",IF(AND(F127=0,G127=1),"개선",IF(AND(F127=1,G127=0),"퇴행","동일")))</f>
        <v/>
      </c>
      <c r="I127" s="10" t="n"/>
      <c r="J127" s="10" t="n"/>
      <c r="K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23" t="str">
        <f>IF(OR(F128="",G128=""),"",IF(AND(F128=0,G128=1),"개선",IF(AND(F128=1,G128=0),"퇴행","동일")))</f>
        <v/>
      </c>
      <c r="I128" s="10" t="n"/>
      <c r="J128" s="10" t="n"/>
      <c r="K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23" t="str">
        <f>IF(OR(F129="",G129=""),"",IF(AND(F129=0,G129=1),"개선",IF(AND(F129=1,G129=0),"퇴행","동일")))</f>
        <v/>
      </c>
      <c r="I129" s="10" t="n"/>
      <c r="J129" s="10" t="n"/>
      <c r="K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23" t="str">
        <f>IF(OR(F130="",G130=""),"",IF(AND(F130=0,G130=1),"개선",IF(AND(F130=1,G130=0),"퇴행","동일")))</f>
        <v/>
      </c>
      <c r="I130" s="10" t="n"/>
      <c r="J130" s="10" t="n"/>
      <c r="K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23" t="str">
        <f>IF(OR(F131="",G131=""),"",IF(AND(F131=0,G131=1),"개선",IF(AND(F131=1,G131=0),"퇴행","동일")))</f>
        <v/>
      </c>
      <c r="I131" s="10" t="n"/>
      <c r="J131" s="10" t="n"/>
      <c r="K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23" t="str">
        <f>IF(OR(F132="",G132=""),"",IF(AND(F132=0,G132=1),"개선",IF(AND(F132=1,G132=0),"퇴행","동일")))</f>
        <v/>
      </c>
      <c r="I132" s="10" t="n"/>
      <c r="J132" s="10" t="n"/>
      <c r="K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23" t="str">
        <f>IF(OR(F133="",G133=""),"",IF(AND(F133=0,G133=1),"개선",IF(AND(F133=1,G133=0),"퇴행","동일")))</f>
        <v/>
      </c>
      <c r="I133" s="10" t="n"/>
      <c r="J133" s="10" t="n"/>
      <c r="K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23" t="str">
        <f>IF(OR(F134="",G134=""),"",IF(AND(F134=0,G134=1),"개선",IF(AND(F134=1,G134=0),"퇴행","동일")))</f>
        <v/>
      </c>
      <c r="I134" s="10" t="n"/>
      <c r="J134" s="10" t="n"/>
      <c r="K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23" t="str">
        <f>IF(OR(F135="",G135=""),"",IF(AND(F135=0,G135=1),"개선",IF(AND(F135=1,G135=0),"퇴행","동일")))</f>
        <v/>
      </c>
      <c r="I135" s="10" t="n"/>
      <c r="J135" s="10" t="n"/>
      <c r="K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23" t="str">
        <f>IF(OR(F136="",G136=""),"",IF(AND(F136=0,G136=1),"개선",IF(AND(F136=1,G136=0),"퇴행","동일")))</f>
        <v/>
      </c>
      <c r="I136" s="10" t="n"/>
      <c r="J136" s="10" t="n"/>
      <c r="K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23" t="str">
        <f>IF(OR(F137="",G137=""),"",IF(AND(F137=0,G137=1),"개선",IF(AND(F137=1,G137=0),"퇴행","동일")))</f>
        <v/>
      </c>
      <c r="I137" s="10" t="n"/>
      <c r="J137" s="10" t="n"/>
      <c r="K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23" t="str">
        <f>IF(OR(F138="",G138=""),"",IF(AND(F138=0,G138=1),"개선",IF(AND(F138=1,G138=0),"퇴행","동일")))</f>
        <v/>
      </c>
      <c r="I138" s="10" t="n"/>
      <c r="J138" s="10" t="n"/>
      <c r="K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23" t="str">
        <f>IF(OR(F139="",G139=""),"",IF(AND(F139=0,G139=1),"개선",IF(AND(F139=1,G139=0),"퇴행","동일")))</f>
        <v/>
      </c>
      <c r="I139" s="10" t="n"/>
      <c r="J139" s="10" t="n"/>
      <c r="K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23" t="str">
        <f>IF(OR(F140="",G140=""),"",IF(AND(F140=0,G140=1),"개선",IF(AND(F140=1,G140=0),"퇴행","동일")))</f>
        <v/>
      </c>
      <c r="I140" s="10" t="n"/>
      <c r="J140" s="10" t="n"/>
      <c r="K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23" t="str">
        <f>IF(OR(F141="",G141=""),"",IF(AND(F141=0,G141=1),"개선",IF(AND(F141=1,G141=0),"퇴행","동일")))</f>
        <v/>
      </c>
      <c r="I141" s="10" t="n"/>
      <c r="J141" s="10" t="n"/>
      <c r="K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23" t="str">
        <f>IF(OR(F142="",G142=""),"",IF(AND(F142=0,G142=1),"개선",IF(AND(F142=1,G142=0),"퇴행","동일")))</f>
        <v/>
      </c>
      <c r="I142" s="10" t="n"/>
      <c r="J142" s="10" t="n"/>
      <c r="K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23" t="str">
        <f>IF(OR(F143="",G143=""),"",IF(AND(F143=0,G143=1),"개선",IF(AND(F143=1,G143=0),"퇴행","동일")))</f>
        <v/>
      </c>
      <c r="I143" s="10" t="n"/>
      <c r="J143" s="10" t="n"/>
      <c r="K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23" t="str">
        <f>IF(OR(F144="",G144=""),"",IF(AND(F144=0,G144=1),"개선",IF(AND(F144=1,G144=0),"퇴행","동일")))</f>
        <v/>
      </c>
      <c r="I144" s="10" t="n"/>
      <c r="J144" s="10" t="n"/>
      <c r="K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23" t="str">
        <f>IF(OR(F145="",G145=""),"",IF(AND(F145=0,G145=1),"개선",IF(AND(F145=1,G145=0),"퇴행","동일")))</f>
        <v/>
      </c>
      <c r="I145" s="10" t="n"/>
      <c r="J145" s="10" t="n"/>
      <c r="K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23" t="str">
        <f>IF(OR(F146="",G146=""),"",IF(AND(F146=0,G146=1),"개선",IF(AND(F146=1,G146=0),"퇴행","동일")))</f>
        <v/>
      </c>
      <c r="I146" s="10" t="n"/>
      <c r="J146" s="10" t="n"/>
      <c r="K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23" t="str">
        <f>IF(OR(F147="",G147=""),"",IF(AND(F147=0,G147=1),"개선",IF(AND(F147=1,G147=0),"퇴행","동일")))</f>
        <v/>
      </c>
      <c r="I147" s="10" t="n"/>
      <c r="J147" s="10" t="n"/>
      <c r="K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23" t="str">
        <f>IF(OR(F148="",G148=""),"",IF(AND(F148=0,G148=1),"개선",IF(AND(F148=1,G148=0),"퇴행","동일")))</f>
        <v/>
      </c>
      <c r="I148" s="10" t="n"/>
      <c r="J148" s="10" t="n"/>
      <c r="K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23" t="str">
        <f>IF(OR(F149="",G149=""),"",IF(AND(F149=0,G149=1),"개선",IF(AND(F149=1,G149=0),"퇴행","동일")))</f>
        <v/>
      </c>
      <c r="I149" s="10" t="n"/>
      <c r="J149" s="10" t="n"/>
      <c r="K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23" t="str">
        <f>IF(OR(F150="",G150=""),"",IF(AND(F150=0,G150=1),"개선",IF(AND(F150=1,G150=0),"퇴행","동일")))</f>
        <v/>
      </c>
      <c r="I150" s="10" t="n"/>
      <c r="J150" s="10" t="n"/>
      <c r="K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23" t="str">
        <f>IF(OR(F151="",G151=""),"",IF(AND(F151=0,G151=1),"개선",IF(AND(F151=1,G151=0),"퇴행","동일")))</f>
        <v/>
      </c>
      <c r="I151" s="10" t="n"/>
      <c r="J151" s="10" t="n"/>
      <c r="K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23" t="str">
        <f>IF(OR(F152="",G152=""),"",IF(AND(F152=0,G152=1),"개선",IF(AND(F152=1,G152=0),"퇴행","동일")))</f>
        <v/>
      </c>
      <c r="I152" s="10" t="n"/>
      <c r="J152" s="10" t="n"/>
      <c r="K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23" t="str">
        <f>IF(OR(F153="",G153=""),"",IF(AND(F153=0,G153=1),"개선",IF(AND(F153=1,G153=0),"퇴행","동일")))</f>
        <v/>
      </c>
      <c r="I153" s="10" t="n"/>
      <c r="J153" s="10" t="n"/>
      <c r="K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23" t="str">
        <f>IF(OR(F154="",G154=""),"",IF(AND(F154=0,G154=1),"개선",IF(AND(F154=1,G154=0),"퇴행","동일")))</f>
        <v/>
      </c>
      <c r="I154" s="10" t="n"/>
      <c r="J154" s="10" t="n"/>
      <c r="K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23" t="str">
        <f>IF(OR(F155="",G155=""),"",IF(AND(F155=0,G155=1),"개선",IF(AND(F155=1,G155=0),"퇴행","동일")))</f>
        <v/>
      </c>
      <c r="I155" s="10" t="n"/>
      <c r="J155" s="10" t="n"/>
      <c r="K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23" t="str">
        <f>IF(OR(F156="",G156=""),"",IF(AND(F156=0,G156=1),"개선",IF(AND(F156=1,G156=0),"퇴행","동일")))</f>
        <v/>
      </c>
      <c r="I156" s="10" t="n"/>
      <c r="J156" s="10" t="n"/>
      <c r="K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23" t="str">
        <f>IF(OR(F157="",G157=""),"",IF(AND(F157=0,G157=1),"개선",IF(AND(F157=1,G157=0),"퇴행","동일")))</f>
        <v/>
      </c>
      <c r="I157" s="10" t="n"/>
      <c r="J157" s="10" t="n"/>
      <c r="K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23" t="str">
        <f>IF(OR(F158="",G158=""),"",IF(AND(F158=0,G158=1),"개선",IF(AND(F158=1,G158=0),"퇴행","동일")))</f>
        <v/>
      </c>
      <c r="I158" s="10" t="n"/>
      <c r="J158" s="10" t="n"/>
      <c r="K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23" t="str">
        <f>IF(OR(F159="",G159=""),"",IF(AND(F159=0,G159=1),"개선",IF(AND(F159=1,G159=0),"퇴행","동일")))</f>
        <v/>
      </c>
      <c r="I159" s="10" t="n"/>
      <c r="J159" s="10" t="n"/>
      <c r="K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23" t="str">
        <f>IF(OR(F160="",G160=""),"",IF(AND(F160=0,G160=1),"개선",IF(AND(F160=1,G160=0),"퇴행","동일")))</f>
        <v/>
      </c>
      <c r="I160" s="10" t="n"/>
      <c r="J160" s="10" t="n"/>
      <c r="K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23" t="str">
        <f>IF(OR(F161="",G161=""),"",IF(AND(F161=0,G161=1),"개선",IF(AND(F161=1,G161=0),"퇴행","동일")))</f>
        <v/>
      </c>
      <c r="I161" s="10" t="n"/>
      <c r="J161" s="10" t="n"/>
      <c r="K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23" t="str">
        <f>IF(OR(F162="",G162=""),"",IF(AND(F162=0,G162=1),"개선",IF(AND(F162=1,G162=0),"퇴행","동일")))</f>
        <v/>
      </c>
      <c r="I162" s="10" t="n"/>
      <c r="J162" s="10" t="n"/>
      <c r="K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23" t="str">
        <f>IF(OR(F163="",G163=""),"",IF(AND(F163=0,G163=1),"개선",IF(AND(F163=1,G163=0),"퇴행","동일")))</f>
        <v/>
      </c>
      <c r="I163" s="10" t="n"/>
      <c r="J163" s="10" t="n"/>
      <c r="K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23" t="str">
        <f>IF(OR(F164="",G164=""),"",IF(AND(F164=0,G164=1),"개선",IF(AND(F164=1,G164=0),"퇴행","동일")))</f>
        <v/>
      </c>
      <c r="I164" s="10" t="n"/>
      <c r="J164" s="10" t="n"/>
      <c r="K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23" t="str">
        <f>IF(OR(F165="",G165=""),"",IF(AND(F165=0,G165=1),"개선",IF(AND(F165=1,G165=0),"퇴행","동일")))</f>
        <v/>
      </c>
      <c r="I165" s="10" t="n"/>
      <c r="J165" s="10" t="n"/>
      <c r="K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23" t="str">
        <f>IF(OR(F166="",G166=""),"",IF(AND(F166=0,G166=1),"개선",IF(AND(F166=1,G166=0),"퇴행","동일")))</f>
        <v/>
      </c>
      <c r="I166" s="10" t="n"/>
      <c r="J166" s="10" t="n"/>
      <c r="K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23" t="str">
        <f>IF(OR(F167="",G167=""),"",IF(AND(F167=0,G167=1),"개선",IF(AND(F167=1,G167=0),"퇴행","동일")))</f>
        <v/>
      </c>
      <c r="I167" s="10" t="n"/>
      <c r="J167" s="10" t="n"/>
      <c r="K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23" t="str">
        <f>IF(OR(F168="",G168=""),"",IF(AND(F168=0,G168=1),"개선",IF(AND(F168=1,G168=0),"퇴행","동일")))</f>
        <v/>
      </c>
      <c r="I168" s="10" t="n"/>
      <c r="J168" s="10" t="n"/>
      <c r="K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23" t="str">
        <f>IF(OR(F169="",G169=""),"",IF(AND(F169=0,G169=1),"개선",IF(AND(F169=1,G169=0),"퇴행","동일")))</f>
        <v/>
      </c>
      <c r="I169" s="10" t="n"/>
      <c r="J169" s="10" t="n"/>
      <c r="K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23" t="str">
        <f>IF(OR(F170="",G170=""),"",IF(AND(F170=0,G170=1),"개선",IF(AND(F170=1,G170=0),"퇴행","동일")))</f>
        <v/>
      </c>
      <c r="I170" s="10" t="n"/>
      <c r="J170" s="10" t="n"/>
      <c r="K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23" t="str">
        <f>IF(OR(F171="",G171=""),"",IF(AND(F171=0,G171=1),"개선",IF(AND(F171=1,G171=0),"퇴행","동일")))</f>
        <v/>
      </c>
      <c r="I171" s="10" t="n"/>
      <c r="J171" s="10" t="n"/>
      <c r="K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23" t="str">
        <f>IF(OR(F172="",G172=""),"",IF(AND(F172=0,G172=1),"개선",IF(AND(F172=1,G172=0),"퇴행","동일")))</f>
        <v/>
      </c>
      <c r="I172" s="10" t="n"/>
      <c r="J172" s="10" t="n"/>
      <c r="K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23" t="str">
        <f>IF(OR(F173="",G173=""),"",IF(AND(F173=0,G173=1),"개선",IF(AND(F173=1,G173=0),"퇴행","동일")))</f>
        <v/>
      </c>
      <c r="I173" s="10" t="n"/>
      <c r="J173" s="10" t="n"/>
      <c r="K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23" t="str">
        <f>IF(OR(F174="",G174=""),"",IF(AND(F174=0,G174=1),"개선",IF(AND(F174=1,G174=0),"퇴행","동일")))</f>
        <v/>
      </c>
      <c r="I174" s="10" t="n"/>
      <c r="J174" s="10" t="n"/>
      <c r="K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23" t="str">
        <f>IF(OR(F175="",G175=""),"",IF(AND(F175=0,G175=1),"개선",IF(AND(F175=1,G175=0),"퇴행","동일")))</f>
        <v/>
      </c>
      <c r="I175" s="10" t="n"/>
      <c r="J175" s="10" t="n"/>
      <c r="K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23" t="str">
        <f>IF(OR(F176="",G176=""),"",IF(AND(F176=0,G176=1),"개선",IF(AND(F176=1,G176=0),"퇴행","동일")))</f>
        <v/>
      </c>
      <c r="I176" s="10" t="n"/>
      <c r="J176" s="10" t="n"/>
      <c r="K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23" t="str">
        <f>IF(OR(F177="",G177=""),"",IF(AND(F177=0,G177=1),"개선",IF(AND(F177=1,G177=0),"퇴행","동일")))</f>
        <v/>
      </c>
      <c r="I177" s="10" t="n"/>
      <c r="J177" s="10" t="n"/>
      <c r="K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23" t="str">
        <f>IF(OR(F178="",G178=""),"",IF(AND(F178=0,G178=1),"개선",IF(AND(F178=1,G178=0),"퇴행","동일")))</f>
        <v/>
      </c>
      <c r="I178" s="10" t="n"/>
      <c r="J178" s="10" t="n"/>
      <c r="K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23" t="str">
        <f>IF(OR(F179="",G179=""),"",IF(AND(F179=0,G179=1),"개선",IF(AND(F179=1,G179=0),"퇴행","동일")))</f>
        <v/>
      </c>
      <c r="I179" s="10" t="n"/>
      <c r="J179" s="10" t="n"/>
      <c r="K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23" t="str">
        <f>IF(OR(F180="",G180=""),"",IF(AND(F180=0,G180=1),"개선",IF(AND(F180=1,G180=0),"퇴행","동일")))</f>
        <v/>
      </c>
      <c r="I180" s="10" t="n"/>
      <c r="J180" s="10" t="n"/>
      <c r="K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23" t="str">
        <f>IF(OR(F181="",G181=""),"",IF(AND(F181=0,G181=1),"개선",IF(AND(F181=1,G181=0),"퇴행","동일")))</f>
        <v/>
      </c>
      <c r="I181" s="10" t="n"/>
      <c r="J181" s="10" t="n"/>
      <c r="K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23" t="str">
        <f>IF(OR(F182="",G182=""),"",IF(AND(F182=0,G182=1),"개선",IF(AND(F182=1,G182=0),"퇴행","동일")))</f>
        <v/>
      </c>
      <c r="I182" s="10" t="n"/>
      <c r="J182" s="10" t="n"/>
      <c r="K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23" t="str">
        <f>IF(OR(F183="",G183=""),"",IF(AND(F183=0,G183=1),"개선",IF(AND(F183=1,G183=0),"퇴행","동일")))</f>
        <v/>
      </c>
      <c r="I183" s="10" t="n"/>
      <c r="J183" s="10" t="n"/>
      <c r="K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23" t="str">
        <f>IF(OR(F184="",G184=""),"",IF(AND(F184=0,G184=1),"개선",IF(AND(F184=1,G184=0),"퇴행","동일")))</f>
        <v/>
      </c>
      <c r="I184" s="10" t="n"/>
      <c r="J184" s="10" t="n"/>
      <c r="K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23" t="str">
        <f>IF(OR(F185="",G185=""),"",IF(AND(F185=0,G185=1),"개선",IF(AND(F185=1,G185=0),"퇴행","동일")))</f>
        <v/>
      </c>
      <c r="I185" s="10" t="n"/>
      <c r="J185" s="10" t="n"/>
      <c r="K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23" t="str">
        <f>IF(OR(F186="",G186=""),"",IF(AND(F186=0,G186=1),"개선",IF(AND(F186=1,G186=0),"퇴행","동일")))</f>
        <v/>
      </c>
      <c r="I186" s="10" t="n"/>
      <c r="J186" s="10" t="n"/>
      <c r="K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23" t="str">
        <f>IF(OR(F187="",G187=""),"",IF(AND(F187=0,G187=1),"개선",IF(AND(F187=1,G187=0),"퇴행","동일")))</f>
        <v/>
      </c>
      <c r="I187" s="10" t="n"/>
      <c r="J187" s="10" t="n"/>
      <c r="K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23" t="str">
        <f>IF(OR(F188="",G188=""),"",IF(AND(F188=0,G188=1),"개선",IF(AND(F188=1,G188=0),"퇴행","동일")))</f>
        <v/>
      </c>
      <c r="I188" s="10" t="n"/>
      <c r="J188" s="10" t="n"/>
      <c r="K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23" t="str">
        <f>IF(OR(F189="",G189=""),"",IF(AND(F189=0,G189=1),"개선",IF(AND(F189=1,G189=0),"퇴행","동일")))</f>
        <v/>
      </c>
      <c r="I189" s="10" t="n"/>
      <c r="J189" s="10" t="n"/>
      <c r="K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23" t="str">
        <f>IF(OR(F190="",G190=""),"",IF(AND(F190=0,G190=1),"개선",IF(AND(F190=1,G190=0),"퇴행","동일")))</f>
        <v/>
      </c>
      <c r="I190" s="10" t="n"/>
      <c r="J190" s="10" t="n"/>
      <c r="K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23" t="str">
        <f>IF(OR(F191="",G191=""),"",IF(AND(F191=0,G191=1),"개선",IF(AND(F191=1,G191=0),"퇴행","동일")))</f>
        <v/>
      </c>
      <c r="I191" s="10" t="n"/>
      <c r="J191" s="10" t="n"/>
      <c r="K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23" t="str">
        <f>IF(OR(F192="",G192=""),"",IF(AND(F192=0,G192=1),"개선",IF(AND(F192=1,G192=0),"퇴행","동일")))</f>
        <v/>
      </c>
      <c r="I192" s="10" t="n"/>
      <c r="J192" s="10" t="n"/>
      <c r="K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23" t="str">
        <f>IF(OR(F193="",G193=""),"",IF(AND(F193=0,G193=1),"개선",IF(AND(F193=1,G193=0),"퇴행","동일")))</f>
        <v/>
      </c>
      <c r="I193" s="10" t="n"/>
      <c r="J193" s="10" t="n"/>
      <c r="K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23" t="str">
        <f>IF(OR(F194="",G194=""),"",IF(AND(F194=0,G194=1),"개선",IF(AND(F194=1,G194=0),"퇴행","동일")))</f>
        <v/>
      </c>
      <c r="I194" s="10" t="n"/>
      <c r="J194" s="10" t="n"/>
      <c r="K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23" t="str">
        <f>IF(OR(F195="",G195=""),"",IF(AND(F195=0,G195=1),"개선",IF(AND(F195=1,G195=0),"퇴행","동일")))</f>
        <v/>
      </c>
      <c r="I195" s="10" t="n"/>
      <c r="J195" s="10" t="n"/>
      <c r="K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23" t="str">
        <f>IF(OR(F196="",G196=""),"",IF(AND(F196=0,G196=1),"개선",IF(AND(F196=1,G196=0),"퇴행","동일")))</f>
        <v/>
      </c>
      <c r="I196" s="10" t="n"/>
      <c r="J196" s="10" t="n"/>
      <c r="K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23" t="str">
        <f>IF(OR(F197="",G197=""),"",IF(AND(F197=0,G197=1),"개선",IF(AND(F197=1,G197=0),"퇴행","동일")))</f>
        <v/>
      </c>
      <c r="I197" s="10" t="n"/>
      <c r="J197" s="10" t="n"/>
      <c r="K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23" t="str">
        <f>IF(OR(F198="",G198=""),"",IF(AND(F198=0,G198=1),"개선",IF(AND(F198=1,G198=0),"퇴행","동일")))</f>
        <v/>
      </c>
      <c r="I198" s="10" t="n"/>
      <c r="J198" s="10" t="n"/>
      <c r="K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23" t="str">
        <f>IF(OR(F199="",G199=""),"",IF(AND(F199=0,G199=1),"개선",IF(AND(F199=1,G199=0),"퇴행","동일")))</f>
        <v/>
      </c>
      <c r="I199" s="10" t="n"/>
      <c r="J199" s="10" t="n"/>
      <c r="K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23" t="str">
        <f>IF(OR(F200="",G200=""),"",IF(AND(F200=0,G200=1),"개선",IF(AND(F200=1,G200=0),"퇴행","동일")))</f>
        <v/>
      </c>
      <c r="I200" s="10" t="n"/>
      <c r="J200" s="10" t="n"/>
      <c r="K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23" t="str">
        <f>IF(OR(F201="",G201=""),"",IF(AND(F201=0,G201=1),"개선",IF(AND(F201=1,G201=0),"퇴행","동일")))</f>
        <v/>
      </c>
      <c r="I201" s="10" t="n"/>
      <c r="J201" s="10" t="n"/>
      <c r="K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23" t="str">
        <f>IF(OR(F202="",G202=""),"",IF(AND(F202=0,G202=1),"개선",IF(AND(F202=1,G202=0),"퇴행","동일")))</f>
        <v/>
      </c>
      <c r="I202" s="10" t="n"/>
      <c r="J202" s="10" t="n"/>
      <c r="K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23" t="str">
        <f>IF(OR(F203="",G203=""),"",IF(AND(F203=0,G203=1),"개선",IF(AND(F203=1,G203=0),"퇴행","동일")))</f>
        <v/>
      </c>
      <c r="I203" s="10" t="n"/>
      <c r="J203" s="10" t="n"/>
      <c r="K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23" t="str">
        <f>IF(OR(F204="",G204=""),"",IF(AND(F204=0,G204=1),"개선",IF(AND(F204=1,G204=0),"퇴행","동일")))</f>
        <v/>
      </c>
      <c r="I204" s="10" t="n"/>
      <c r="J204" s="10" t="n"/>
      <c r="K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23" t="str">
        <f>IF(OR(F205="",G205=""),"",IF(AND(F205=0,G205=1),"개선",IF(AND(F205=1,G205=0),"퇴행","동일")))</f>
        <v/>
      </c>
      <c r="I205" s="10" t="n"/>
      <c r="J205" s="10" t="n"/>
      <c r="K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23" t="str">
        <f>IF(OR(F206="",G206=""),"",IF(AND(F206=0,G206=1),"개선",IF(AND(F206=1,G206=0),"퇴행","동일")))</f>
        <v/>
      </c>
      <c r="I206" s="10" t="n"/>
      <c r="J206" s="10" t="n"/>
      <c r="K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23" t="str">
        <f>IF(OR(F207="",G207=""),"",IF(AND(F207=0,G207=1),"개선",IF(AND(F207=1,G207=0),"퇴행","동일")))</f>
        <v/>
      </c>
      <c r="I207" s="10" t="n"/>
      <c r="J207" s="10" t="n"/>
      <c r="K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23" t="str">
        <f>IF(OR(F208="",G208=""),"",IF(AND(F208=0,G208=1),"개선",IF(AND(F208=1,G208=0),"퇴행","동일")))</f>
        <v/>
      </c>
      <c r="I208" s="10" t="n"/>
      <c r="J208" s="10" t="n"/>
      <c r="K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23" t="str">
        <f>IF(OR(F209="",G209=""),"",IF(AND(F209=0,G209=1),"개선",IF(AND(F209=1,G209=0),"퇴행","동일")))</f>
        <v/>
      </c>
      <c r="I209" s="10" t="n"/>
      <c r="J209" s="10" t="n"/>
      <c r="K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23" t="str">
        <f>IF(OR(F210="",G210=""),"",IF(AND(F210=0,G210=1),"개선",IF(AND(F210=1,G210=0),"퇴행","동일")))</f>
        <v/>
      </c>
      <c r="I210" s="10" t="n"/>
      <c r="J210" s="10" t="n"/>
      <c r="K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23" t="str">
        <f>IF(OR(F211="",G211=""),"",IF(AND(F211=0,G211=1),"개선",IF(AND(F211=1,G211=0),"퇴행","동일")))</f>
        <v/>
      </c>
      <c r="I211" s="10" t="n"/>
      <c r="J211" s="10" t="n"/>
      <c r="K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23" t="str">
        <f>IF(OR(F212="",G212=""),"",IF(AND(F212=0,G212=1),"개선",IF(AND(F212=1,G212=0),"퇴행","동일")))</f>
        <v/>
      </c>
      <c r="I212" s="10" t="n"/>
      <c r="J212" s="10" t="n"/>
      <c r="K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23" t="str">
        <f>IF(OR(F213="",G213=""),"",IF(AND(F213=0,G213=1),"개선",IF(AND(F213=1,G213=0),"퇴행","동일")))</f>
        <v/>
      </c>
      <c r="I213" s="10" t="n"/>
      <c r="J213" s="10" t="n"/>
      <c r="K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23" t="str">
        <f>IF(OR(F214="",G214=""),"",IF(AND(F214=0,G214=1),"개선",IF(AND(F214=1,G214=0),"퇴행","동일")))</f>
        <v/>
      </c>
      <c r="I214" s="10" t="n"/>
      <c r="J214" s="10" t="n"/>
      <c r="K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23" t="str">
        <f>IF(OR(F215="",G215=""),"",IF(AND(F215=0,G215=1),"개선",IF(AND(F215=1,G215=0),"퇴행","동일")))</f>
        <v/>
      </c>
      <c r="I215" s="10" t="n"/>
      <c r="J215" s="10" t="n"/>
      <c r="K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23" t="str">
        <f>IF(OR(F216="",G216=""),"",IF(AND(F216=0,G216=1),"개선",IF(AND(F216=1,G216=0),"퇴행","동일")))</f>
        <v/>
      </c>
      <c r="I216" s="10" t="n"/>
      <c r="J216" s="10" t="n"/>
      <c r="K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23" t="str">
        <f>IF(OR(F217="",G217=""),"",IF(AND(F217=0,G217=1),"개선",IF(AND(F217=1,G217=0),"퇴행","동일")))</f>
        <v/>
      </c>
      <c r="I217" s="10" t="n"/>
      <c r="J217" s="10" t="n"/>
      <c r="K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23" t="str">
        <f>IF(OR(F218="",G218=""),"",IF(AND(F218=0,G218=1),"개선",IF(AND(F218=1,G218=0),"퇴행","동일")))</f>
        <v/>
      </c>
      <c r="I218" s="10" t="n"/>
      <c r="J218" s="10" t="n"/>
      <c r="K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23" t="str">
        <f>IF(OR(F219="",G219=""),"",IF(AND(F219=0,G219=1),"개선",IF(AND(F219=1,G219=0),"퇴행","동일")))</f>
        <v/>
      </c>
      <c r="I219" s="10" t="n"/>
      <c r="J219" s="10" t="n"/>
      <c r="K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23" t="str">
        <f>IF(OR(F220="",G220=""),"",IF(AND(F220=0,G220=1),"개선",IF(AND(F220=1,G220=0),"퇴행","동일")))</f>
        <v/>
      </c>
      <c r="I220" s="10" t="n"/>
      <c r="J220" s="10" t="n"/>
      <c r="K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23" t="str">
        <f>IF(OR(F221="",G221=""),"",IF(AND(F221=0,G221=1),"개선",IF(AND(F221=1,G221=0),"퇴행","동일")))</f>
        <v/>
      </c>
      <c r="I221" s="10" t="n"/>
      <c r="J221" s="10" t="n"/>
      <c r="K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23" t="str">
        <f>IF(OR(F222="",G222=""),"",IF(AND(F222=0,G222=1),"개선",IF(AND(F222=1,G222=0),"퇴행","동일")))</f>
        <v/>
      </c>
      <c r="I222" s="10" t="n"/>
      <c r="J222" s="10" t="n"/>
      <c r="K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23" t="str">
        <f>IF(OR(F223="",G223=""),"",IF(AND(F223=0,G223=1),"개선",IF(AND(F223=1,G223=0),"퇴행","동일")))</f>
        <v/>
      </c>
      <c r="I223" s="10" t="n"/>
      <c r="J223" s="10" t="n"/>
      <c r="K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23" t="str">
        <f>IF(OR(F224="",G224=""),"",IF(AND(F224=0,G224=1),"개선",IF(AND(F224=1,G224=0),"퇴행","동일")))</f>
        <v/>
      </c>
      <c r="I224" s="10" t="n"/>
      <c r="J224" s="10" t="n"/>
      <c r="K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23" t="str">
        <f>IF(OR(F225="",G225=""),"",IF(AND(F225=0,G225=1),"개선",IF(AND(F225=1,G225=0),"퇴행","동일")))</f>
        <v/>
      </c>
      <c r="I225" s="10" t="n"/>
      <c r="J225" s="10" t="n"/>
      <c r="K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23" t="str">
        <f>IF(OR(F226="",G226=""),"",IF(AND(F226=0,G226=1),"개선",IF(AND(F226=1,G226=0),"퇴행","동일")))</f>
        <v/>
      </c>
      <c r="I226" s="10" t="n"/>
      <c r="J226" s="10" t="n"/>
      <c r="K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23" t="str">
        <f>IF(OR(F227="",G227=""),"",IF(AND(F227=0,G227=1),"개선",IF(AND(F227=1,G227=0),"퇴행","동일")))</f>
        <v/>
      </c>
      <c r="I227" s="10" t="n"/>
      <c r="J227" s="10" t="n"/>
      <c r="K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23" t="str">
        <f>IF(OR(F228="",G228=""),"",IF(AND(F228=0,G228=1),"개선",IF(AND(F228=1,G228=0),"퇴행","동일")))</f>
        <v/>
      </c>
      <c r="I228" s="10" t="n"/>
      <c r="J228" s="10" t="n"/>
      <c r="K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23" t="str">
        <f>IF(OR(F229="",G229=""),"",IF(AND(F229=0,G229=1),"개선",IF(AND(F229=1,G229=0),"퇴행","동일")))</f>
        <v/>
      </c>
      <c r="I229" s="10" t="n"/>
      <c r="J229" s="10" t="n"/>
      <c r="K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23" t="str">
        <f>IF(OR(F230="",G230=""),"",IF(AND(F230=0,G230=1),"개선",IF(AND(F230=1,G230=0),"퇴행","동일")))</f>
        <v/>
      </c>
      <c r="I230" s="10" t="n"/>
      <c r="J230" s="10" t="n"/>
      <c r="K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23" t="str">
        <f>IF(OR(F231="",G231=""),"",IF(AND(F231=0,G231=1),"개선",IF(AND(F231=1,G231=0),"퇴행","동일")))</f>
        <v/>
      </c>
      <c r="I231" s="10" t="n"/>
      <c r="J231" s="10" t="n"/>
      <c r="K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23" t="str">
        <f>IF(OR(F232="",G232=""),"",IF(AND(F232=0,G232=1),"개선",IF(AND(F232=1,G232=0),"퇴행","동일")))</f>
        <v/>
      </c>
      <c r="I232" s="10" t="n"/>
      <c r="J232" s="10" t="n"/>
      <c r="K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23" t="str">
        <f>IF(OR(F233="",G233=""),"",IF(AND(F233=0,G233=1),"개선",IF(AND(F233=1,G233=0),"퇴행","동일")))</f>
        <v/>
      </c>
      <c r="I233" s="10" t="n"/>
      <c r="J233" s="10" t="n"/>
      <c r="K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23" t="str">
        <f>IF(OR(F234="",G234=""),"",IF(AND(F234=0,G234=1),"개선",IF(AND(F234=1,G234=0),"퇴행","동일")))</f>
        <v/>
      </c>
      <c r="I234" s="10" t="n"/>
      <c r="J234" s="10" t="n"/>
      <c r="K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23" t="str">
        <f>IF(OR(F235="",G235=""),"",IF(AND(F235=0,G235=1),"개선",IF(AND(F235=1,G235=0),"퇴행","동일")))</f>
        <v/>
      </c>
      <c r="I235" s="10" t="n"/>
      <c r="J235" s="10" t="n"/>
      <c r="K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23" t="str">
        <f>IF(OR(F236="",G236=""),"",IF(AND(F236=0,G236=1),"개선",IF(AND(F236=1,G236=0),"퇴행","동일")))</f>
        <v/>
      </c>
      <c r="I236" s="10" t="n"/>
      <c r="J236" s="10" t="n"/>
      <c r="K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23" t="str">
        <f>IF(OR(F237="",G237=""),"",IF(AND(F237=0,G237=1),"개선",IF(AND(F237=1,G237=0),"퇴행","동일")))</f>
        <v/>
      </c>
      <c r="I237" s="10" t="n"/>
      <c r="J237" s="10" t="n"/>
      <c r="K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23" t="str">
        <f>IF(OR(F238="",G238=""),"",IF(AND(F238=0,G238=1),"개선",IF(AND(F238=1,G238=0),"퇴행","동일")))</f>
        <v/>
      </c>
      <c r="I238" s="10" t="n"/>
      <c r="J238" s="10" t="n"/>
      <c r="K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23" t="str">
        <f>IF(OR(F239="",G239=""),"",IF(AND(F239=0,G239=1),"개선",IF(AND(F239=1,G239=0),"퇴행","동일")))</f>
        <v/>
      </c>
      <c r="I239" s="10" t="n"/>
      <c r="J239" s="10" t="n"/>
      <c r="K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23" t="str">
        <f>IF(OR(F240="",G240=""),"",IF(AND(F240=0,G240=1),"개선",IF(AND(F240=1,G240=0),"퇴행","동일")))</f>
        <v/>
      </c>
      <c r="I240" s="10" t="n"/>
      <c r="J240" s="10" t="n"/>
      <c r="K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23" t="str">
        <f>IF(OR(F241="",G241=""),"",IF(AND(F241=0,G241=1),"개선",IF(AND(F241=1,G241=0),"퇴행","동일")))</f>
        <v/>
      </c>
      <c r="I241" s="10" t="n"/>
      <c r="J241" s="10" t="n"/>
      <c r="K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23" t="str">
        <f>IF(OR(F242="",G242=""),"",IF(AND(F242=0,G242=1),"개선",IF(AND(F242=1,G242=0),"퇴행","동일")))</f>
        <v/>
      </c>
      <c r="I242" s="10" t="n"/>
      <c r="J242" s="10" t="n"/>
      <c r="K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23" t="str">
        <f>IF(OR(F243="",G243=""),"",IF(AND(F243=0,G243=1),"개선",IF(AND(F243=1,G243=0),"퇴행","동일")))</f>
        <v/>
      </c>
      <c r="I243" s="10" t="n"/>
      <c r="J243" s="10" t="n"/>
      <c r="K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23" t="str">
        <f>IF(OR(F244="",G244=""),"",IF(AND(F244=0,G244=1),"개선",IF(AND(F244=1,G244=0),"퇴행","동일")))</f>
        <v/>
      </c>
      <c r="I244" s="10" t="n"/>
      <c r="J244" s="10" t="n"/>
      <c r="K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23" t="str">
        <f>IF(OR(F245="",G245=""),"",IF(AND(F245=0,G245=1),"개선",IF(AND(F245=1,G245=0),"퇴행","동일")))</f>
        <v/>
      </c>
      <c r="I245" s="10" t="n"/>
      <c r="J245" s="10" t="n"/>
      <c r="K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23" t="str">
        <f>IF(OR(F246="",G246=""),"",IF(AND(F246=0,G246=1),"개선",IF(AND(F246=1,G246=0),"퇴행","동일")))</f>
        <v/>
      </c>
      <c r="I246" s="10" t="n"/>
      <c r="J246" s="10" t="n"/>
      <c r="K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23" t="str">
        <f>IF(OR(F247="",G247=""),"",IF(AND(F247=0,G247=1),"개선",IF(AND(F247=1,G247=0),"퇴행","동일")))</f>
        <v/>
      </c>
      <c r="I247" s="10" t="n"/>
      <c r="J247" s="10" t="n"/>
      <c r="K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23" t="str">
        <f>IF(OR(F248="",G248=""),"",IF(AND(F248=0,G248=1),"개선",IF(AND(F248=1,G248=0),"퇴행","동일")))</f>
        <v/>
      </c>
      <c r="I248" s="10" t="n"/>
      <c r="J248" s="10" t="n"/>
      <c r="K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23" t="str">
        <f>IF(OR(F249="",G249=""),"",IF(AND(F249=0,G249=1),"개선",IF(AND(F249=1,G249=0),"퇴행","동일")))</f>
        <v/>
      </c>
      <c r="I249" s="10" t="n"/>
      <c r="J249" s="10" t="n"/>
      <c r="K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23" t="str">
        <f>IF(OR(F250="",G250=""),"",IF(AND(F250=0,G250=1),"개선",IF(AND(F250=1,G250=0),"퇴행","동일")))</f>
        <v/>
      </c>
      <c r="I250" s="10" t="n"/>
      <c r="J250" s="10" t="n"/>
      <c r="K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23" t="str">
        <f>IF(OR(F251="",G251=""),"",IF(AND(F251=0,G251=1),"개선",IF(AND(F251=1,G251=0),"퇴행","동일")))</f>
        <v/>
      </c>
      <c r="I251" s="10" t="n"/>
      <c r="J251" s="10" t="n"/>
      <c r="K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23" t="str">
        <f>IF(OR(F252="",G252=""),"",IF(AND(F252=0,G252=1),"개선",IF(AND(F252=1,G252=0),"퇴행","동일")))</f>
        <v/>
      </c>
      <c r="I252" s="10" t="n"/>
      <c r="J252" s="10" t="n"/>
      <c r="K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23" t="str">
        <f>IF(OR(F253="",G253=""),"",IF(AND(F253=0,G253=1),"개선",IF(AND(F253=1,G253=0),"퇴행","동일")))</f>
        <v/>
      </c>
      <c r="I253" s="10" t="n"/>
      <c r="J253" s="10" t="n"/>
      <c r="K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23" t="str">
        <f>IF(OR(F254="",G254=""),"",IF(AND(F254=0,G254=1),"개선",IF(AND(F254=1,G254=0),"퇴행","동일")))</f>
        <v/>
      </c>
      <c r="I254" s="10" t="n"/>
      <c r="J254" s="10" t="n"/>
      <c r="K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23" t="str">
        <f>IF(OR(F255="",G255=""),"",IF(AND(F255=0,G255=1),"개선",IF(AND(F255=1,G255=0),"퇴행","동일")))</f>
        <v/>
      </c>
      <c r="I255" s="10" t="n"/>
      <c r="J255" s="10" t="n"/>
      <c r="K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23" t="str">
        <f>IF(OR(F256="",G256=""),"",IF(AND(F256=0,G256=1),"개선",IF(AND(F256=1,G256=0),"퇴행","동일")))</f>
        <v/>
      </c>
      <c r="I256" s="10" t="n"/>
      <c r="J256" s="10" t="n"/>
      <c r="K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23" t="str">
        <f>IF(OR(F257="",G257=""),"",IF(AND(F257=0,G257=1),"개선",IF(AND(F257=1,G257=0),"퇴행","동일")))</f>
        <v/>
      </c>
      <c r="I257" s="10" t="n"/>
      <c r="J257" s="10" t="n"/>
      <c r="K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23" t="str">
        <f>IF(OR(F258="",G258=""),"",IF(AND(F258=0,G258=1),"개선",IF(AND(F258=1,G258=0),"퇴행","동일")))</f>
        <v/>
      </c>
      <c r="I258" s="10" t="n"/>
      <c r="J258" s="10" t="n"/>
      <c r="K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23" t="str">
        <f>IF(OR(F259="",G259=""),"",IF(AND(F259=0,G259=1),"개선",IF(AND(F259=1,G259=0),"퇴행","동일")))</f>
        <v/>
      </c>
      <c r="I259" s="10" t="n"/>
      <c r="J259" s="10" t="n"/>
      <c r="K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23" t="str">
        <f>IF(OR(F260="",G260=""),"",IF(AND(F260=0,G260=1),"개선",IF(AND(F260=1,G260=0),"퇴행","동일")))</f>
        <v/>
      </c>
      <c r="I260" s="10" t="n"/>
      <c r="J260" s="10" t="n"/>
      <c r="K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23" t="str">
        <f>IF(OR(F261="",G261=""),"",IF(AND(F261=0,G261=1),"개선",IF(AND(F261=1,G261=0),"퇴행","동일")))</f>
        <v/>
      </c>
      <c r="I261" s="10" t="n"/>
      <c r="J261" s="10" t="n"/>
      <c r="K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23" t="str">
        <f>IF(OR(F262="",G262=""),"",IF(AND(F262=0,G262=1),"개선",IF(AND(F262=1,G262=0),"퇴행","동일")))</f>
        <v/>
      </c>
      <c r="I262" s="10" t="n"/>
      <c r="J262" s="10" t="n"/>
      <c r="K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23" t="str">
        <f>IF(OR(F263="",G263=""),"",IF(AND(F263=0,G263=1),"개선",IF(AND(F263=1,G263=0),"퇴행","동일")))</f>
        <v/>
      </c>
      <c r="I263" s="10" t="n"/>
      <c r="J263" s="10" t="n"/>
      <c r="K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23" t="str">
        <f>IF(OR(F264="",G264=""),"",IF(AND(F264=0,G264=1),"개선",IF(AND(F264=1,G264=0),"퇴행","동일")))</f>
        <v/>
      </c>
      <c r="I264" s="10" t="n"/>
      <c r="J264" s="10" t="n"/>
      <c r="K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23" t="str">
        <f>IF(OR(F265="",G265=""),"",IF(AND(F265=0,G265=1),"개선",IF(AND(F265=1,G265=0),"퇴행","동일")))</f>
        <v/>
      </c>
      <c r="I265" s="10" t="n"/>
      <c r="J265" s="10" t="n"/>
      <c r="K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23" t="str">
        <f>IF(OR(F266="",G266=""),"",IF(AND(F266=0,G266=1),"개선",IF(AND(F266=1,G266=0),"퇴행","동일")))</f>
        <v/>
      </c>
      <c r="I266" s="10" t="n"/>
      <c r="J266" s="10" t="n"/>
      <c r="K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23" t="str">
        <f>IF(OR(F267="",G267=""),"",IF(AND(F267=0,G267=1),"개선",IF(AND(F267=1,G267=0),"퇴행","동일")))</f>
        <v/>
      </c>
      <c r="I267" s="10" t="n"/>
      <c r="J267" s="10" t="n"/>
      <c r="K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23" t="str">
        <f>IF(OR(F268="",G268=""),"",IF(AND(F268=0,G268=1),"개선",IF(AND(F268=1,G268=0),"퇴행","동일")))</f>
        <v/>
      </c>
      <c r="I268" s="10" t="n"/>
      <c r="J268" s="10" t="n"/>
      <c r="K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23" t="str">
        <f>IF(OR(F269="",G269=""),"",IF(AND(F269=0,G269=1),"개선",IF(AND(F269=1,G269=0),"퇴행","동일")))</f>
        <v/>
      </c>
      <c r="I269" s="10" t="n"/>
      <c r="J269" s="10" t="n"/>
      <c r="K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23" t="str">
        <f>IF(OR(F270="",G270=""),"",IF(AND(F270=0,G270=1),"개선",IF(AND(F270=1,G270=0),"퇴행","동일")))</f>
        <v/>
      </c>
      <c r="I270" s="10" t="n"/>
      <c r="J270" s="10" t="n"/>
      <c r="K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23" t="str">
        <f>IF(OR(F271="",G271=""),"",IF(AND(F271=0,G271=1),"개선",IF(AND(F271=1,G271=0),"퇴행","동일")))</f>
        <v/>
      </c>
      <c r="I271" s="10" t="n"/>
      <c r="J271" s="10" t="n"/>
      <c r="K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23" t="str">
        <f>IF(OR(F272="",G272=""),"",IF(AND(F272=0,G272=1),"개선",IF(AND(F272=1,G272=0),"퇴행","동일")))</f>
        <v/>
      </c>
      <c r="I272" s="10" t="n"/>
      <c r="J272" s="10" t="n"/>
      <c r="K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23" t="str">
        <f>IF(OR(F273="",G273=""),"",IF(AND(F273=0,G273=1),"개선",IF(AND(F273=1,G273=0),"퇴행","동일")))</f>
        <v/>
      </c>
      <c r="I273" s="10" t="n"/>
      <c r="J273" s="10" t="n"/>
      <c r="K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23" t="str">
        <f>IF(OR(F274="",G274=""),"",IF(AND(F274=0,G274=1),"개선",IF(AND(F274=1,G274=0),"퇴행","동일")))</f>
        <v/>
      </c>
      <c r="I274" s="10" t="n"/>
      <c r="J274" s="10" t="n"/>
      <c r="K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23" t="str">
        <f>IF(OR(F275="",G275=""),"",IF(AND(F275=0,G275=1),"개선",IF(AND(F275=1,G275=0),"퇴행","동일")))</f>
        <v/>
      </c>
      <c r="I275" s="10" t="n"/>
      <c r="J275" s="10" t="n"/>
      <c r="K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23" t="str">
        <f>IF(OR(F276="",G276=""),"",IF(AND(F276=0,G276=1),"개선",IF(AND(F276=1,G276=0),"퇴행","동일")))</f>
        <v/>
      </c>
      <c r="I276" s="10" t="n"/>
      <c r="J276" s="10" t="n"/>
      <c r="K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23" t="str">
        <f>IF(OR(F277="",G277=""),"",IF(AND(F277=0,G277=1),"개선",IF(AND(F277=1,G277=0),"퇴행","동일")))</f>
        <v/>
      </c>
      <c r="I277" s="10" t="n"/>
      <c r="J277" s="10" t="n"/>
      <c r="K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23" t="str">
        <f>IF(OR(F278="",G278=""),"",IF(AND(F278=0,G278=1),"개선",IF(AND(F278=1,G278=0),"퇴행","동일")))</f>
        <v/>
      </c>
      <c r="I278" s="10" t="n"/>
      <c r="J278" s="10" t="n"/>
      <c r="K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23" t="str">
        <f>IF(OR(F279="",G279=""),"",IF(AND(F279=0,G279=1),"개선",IF(AND(F279=1,G279=0),"퇴행","동일")))</f>
        <v/>
      </c>
      <c r="I279" s="10" t="n"/>
      <c r="J279" s="10" t="n"/>
      <c r="K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23" t="str">
        <f>IF(OR(F280="",G280=""),"",IF(AND(F280=0,G280=1),"개선",IF(AND(F280=1,G280=0),"퇴행","동일")))</f>
        <v/>
      </c>
      <c r="I280" s="10" t="n"/>
      <c r="J280" s="10" t="n"/>
      <c r="K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23" t="str">
        <f>IF(OR(F281="",G281=""),"",IF(AND(F281=0,G281=1),"개선",IF(AND(F281=1,G281=0),"퇴행","동일")))</f>
        <v/>
      </c>
      <c r="I281" s="10" t="n"/>
      <c r="J281" s="10" t="n"/>
      <c r="K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23" t="str">
        <f>IF(OR(F282="",G282=""),"",IF(AND(F282=0,G282=1),"개선",IF(AND(F282=1,G282=0),"퇴행","동일")))</f>
        <v/>
      </c>
      <c r="I282" s="10" t="n"/>
      <c r="J282" s="10" t="n"/>
      <c r="K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23" t="str">
        <f>IF(OR(F283="",G283=""),"",IF(AND(F283=0,G283=1),"개선",IF(AND(F283=1,G283=0),"퇴행","동일")))</f>
        <v/>
      </c>
      <c r="I283" s="10" t="n"/>
      <c r="J283" s="10" t="n"/>
      <c r="K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23" t="str">
        <f>IF(OR(F284="",G284=""),"",IF(AND(F284=0,G284=1),"개선",IF(AND(F284=1,G284=0),"퇴행","동일")))</f>
        <v/>
      </c>
      <c r="I284" s="10" t="n"/>
      <c r="J284" s="10" t="n"/>
      <c r="K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23" t="str">
        <f>IF(OR(F285="",G285=""),"",IF(AND(F285=0,G285=1),"개선",IF(AND(F285=1,G285=0),"퇴행","동일")))</f>
        <v/>
      </c>
      <c r="I285" s="10" t="n"/>
      <c r="J285" s="10" t="n"/>
      <c r="K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23" t="str">
        <f>IF(OR(F286="",G286=""),"",IF(AND(F286=0,G286=1),"개선",IF(AND(F286=1,G286=0),"퇴행","동일")))</f>
        <v/>
      </c>
      <c r="I286" s="10" t="n"/>
      <c r="J286" s="10" t="n"/>
      <c r="K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23" t="str">
        <f>IF(OR(F287="",G287=""),"",IF(AND(F287=0,G287=1),"개선",IF(AND(F287=1,G287=0),"퇴행","동일")))</f>
        <v/>
      </c>
      <c r="I287" s="10" t="n"/>
      <c r="J287" s="10" t="n"/>
      <c r="K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23" t="str">
        <f>IF(OR(F288="",G288=""),"",IF(AND(F288=0,G288=1),"개선",IF(AND(F288=1,G288=0),"퇴행","동일")))</f>
        <v/>
      </c>
      <c r="I288" s="10" t="n"/>
      <c r="J288" s="10" t="n"/>
      <c r="K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23" t="str">
        <f>IF(OR(F289="",G289=""),"",IF(AND(F289=0,G289=1),"개선",IF(AND(F289=1,G289=0),"퇴행","동일")))</f>
        <v/>
      </c>
      <c r="I289" s="10" t="n"/>
      <c r="J289" s="10" t="n"/>
      <c r="K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23" t="str">
        <f>IF(OR(F290="",G290=""),"",IF(AND(F290=0,G290=1),"개선",IF(AND(F290=1,G290=0),"퇴행","동일")))</f>
        <v/>
      </c>
      <c r="I290" s="10" t="n"/>
      <c r="J290" s="10" t="n"/>
      <c r="K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23" t="str">
        <f>IF(OR(F291="",G291=""),"",IF(AND(F291=0,G291=1),"개선",IF(AND(F291=1,G291=0),"퇴행","동일")))</f>
        <v/>
      </c>
      <c r="I291" s="10" t="n"/>
      <c r="J291" s="10" t="n"/>
      <c r="K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23" t="str">
        <f>IF(OR(F292="",G292=""),"",IF(AND(F292=0,G292=1),"개선",IF(AND(F292=1,G292=0),"퇴행","동일")))</f>
        <v/>
      </c>
      <c r="I292" s="10" t="n"/>
      <c r="J292" s="10" t="n"/>
      <c r="K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23" t="str">
        <f>IF(OR(F293="",G293=""),"",IF(AND(F293=0,G293=1),"개선",IF(AND(F293=1,G293=0),"퇴행","동일")))</f>
        <v/>
      </c>
      <c r="I293" s="10" t="n"/>
      <c r="J293" s="10" t="n"/>
      <c r="K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23" t="str">
        <f>IF(OR(F294="",G294=""),"",IF(AND(F294=0,G294=1),"개선",IF(AND(F294=1,G294=0),"퇴행","동일")))</f>
        <v/>
      </c>
      <c r="I294" s="10" t="n"/>
      <c r="J294" s="10" t="n"/>
      <c r="K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23" t="str">
        <f>IF(OR(F295="",G295=""),"",IF(AND(F295=0,G295=1),"개선",IF(AND(F295=1,G295=0),"퇴행","동일")))</f>
        <v/>
      </c>
      <c r="I295" s="10" t="n"/>
      <c r="J295" s="10" t="n"/>
      <c r="K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23" t="str">
        <f>IF(OR(F296="",G296=""),"",IF(AND(F296=0,G296=1),"개선",IF(AND(F296=1,G296=0),"퇴행","동일")))</f>
        <v/>
      </c>
      <c r="I296" s="10" t="n"/>
      <c r="J296" s="10" t="n"/>
      <c r="K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23" t="str">
        <f>IF(OR(F297="",G297=""),"",IF(AND(F297=0,G297=1),"개선",IF(AND(F297=1,G297=0),"퇴행","동일")))</f>
        <v/>
      </c>
      <c r="I297" s="10" t="n"/>
      <c r="J297" s="10" t="n"/>
      <c r="K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23" t="str">
        <f>IF(OR(F298="",G298=""),"",IF(AND(F298=0,G298=1),"개선",IF(AND(F298=1,G298=0),"퇴행","동일")))</f>
        <v/>
      </c>
      <c r="I298" s="10" t="n"/>
      <c r="J298" s="10" t="n"/>
      <c r="K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23" t="str">
        <f>IF(OR(F299="",G299=""),"",IF(AND(F299=0,G299=1),"개선",IF(AND(F299=1,G299=0),"퇴행","동일")))</f>
        <v/>
      </c>
      <c r="I299" s="10" t="n"/>
      <c r="J299" s="10" t="n"/>
      <c r="K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23" t="str">
        <f>IF(OR(F300="",G300=""),"",IF(AND(F300=0,G300=1),"개선",IF(AND(F300=1,G300=0),"퇴행","동일")))</f>
        <v/>
      </c>
      <c r="I300" s="10" t="n"/>
      <c r="J300" s="10" t="n"/>
      <c r="K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23" t="str">
        <f>IF(OR(F301="",G301=""),"",IF(AND(F301=0,G301=1),"개선",IF(AND(F301=1,G301=0),"퇴행","동일")))</f>
        <v/>
      </c>
      <c r="I301" s="10" t="n"/>
      <c r="J301" s="10" t="n"/>
      <c r="K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23" t="str">
        <f>IF(OR(F302="",G302=""),"",IF(AND(F302=0,G302=1),"개선",IF(AND(F302=1,G302=0),"퇴행","동일")))</f>
        <v/>
      </c>
      <c r="I302" s="10" t="n"/>
      <c r="J302" s="10" t="n"/>
      <c r="K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23" t="str">
        <f>IF(OR(F303="",G303=""),"",IF(AND(F303=0,G303=1),"개선",IF(AND(F303=1,G303=0),"퇴행","동일")))</f>
        <v/>
      </c>
      <c r="I303" s="10" t="n"/>
      <c r="J303" s="10" t="n"/>
      <c r="K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23" t="str">
        <f>IF(OR(F304="",G304=""),"",IF(AND(F304=0,G304=1),"개선",IF(AND(F304=1,G304=0),"퇴행","동일")))</f>
        <v/>
      </c>
      <c r="I304" s="10" t="n"/>
      <c r="J304" s="10" t="n"/>
      <c r="K304" s="10" t="n"/>
    </row>
    <row r="306">
      <c r="A306" s="11" t="inlineStr">
        <is>
          <t>McNemar 짝 비교 — 같은 문항 기준</t>
        </is>
      </c>
    </row>
    <row r="307">
      <c r="A307" s="12" t="inlineStr">
        <is>
          <t>개선 문항 b</t>
        </is>
      </c>
      <c r="B307" s="13">
        <f>COUNTIF(H5:H304,"개선")</f>
        <v>0</v>
      </c>
    </row>
    <row r="308">
      <c r="A308" s="12" t="inlineStr">
        <is>
          <t>퇴행 문항 c</t>
        </is>
      </c>
      <c r="B308" s="13">
        <f>COUNTIF(H5:H304,"퇴행")</f>
        <v>0</v>
      </c>
    </row>
    <row r="309">
      <c r="A309" s="12" t="inlineStr">
        <is>
          <t>동일 문항</t>
        </is>
      </c>
      <c r="B309" s="13">
        <f>COUNTIF(H5:H304,"동일")</f>
        <v>0</v>
      </c>
    </row>
    <row r="310">
      <c r="A310" s="12" t="inlineStr">
        <is>
          <t>검정통계량</t>
        </is>
      </c>
      <c r="B310" s="13" t="str">
        <f>IFERROR((ABS(B307-B308)-1)^2/(B307+B308),"")</f>
        <v/>
      </c>
    </row>
    <row r="311">
      <c r="A311" s="12" t="inlineStr">
        <is>
          <t>판정 (3.84 초과 = 유의)</t>
        </is>
      </c>
      <c r="B311" s="13" t="str">
        <f>IF(B310="","",IF(B310&gt;3.84,IF(B307&gt;B308,"개선 유의","퇴행 유의"),"판단 보류"))</f>
        <v/>
      </c>
    </row>
  </sheetData>
  <autoFilter ref="A4:K304"/>
  <mergeCells count="2">
    <mergeCell ref="A2:K2"/>
    <mergeCell ref="A1:K1"/>
  </mergeCells>
  <conditionalFormatting sqref="H5:H304">
    <cfRule type="cellIs" priority="1" operator="equal" dxfId="0">
      <formula>"개선"</formula>
    </cfRule>
    <cfRule type="cellIs" priority="2" operator="equal" dxfId="2">
      <formula>"퇴행"</formula>
    </cfRule>
  </conditionalFormatting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2" customWidth="1" min="3" max="3"/>
    <col width="10" customWidth="1" min="4" max="4"/>
    <col width="12" customWidth="1" min="5" max="5"/>
    <col width="10" customWidth="1" min="6" max="6"/>
    <col width="10" customWidth="1" min="7" max="7"/>
    <col width="26" customWidth="1" min="8" max="8"/>
  </cols>
  <sheetData>
    <row r="1">
      <c r="A1" s="8" t="inlineStr">
        <is>
          <t>7. 답변 평가 — 사내 LLM 채점 + 사람 교차 검증</t>
        </is>
      </c>
    </row>
    <row r="2">
      <c r="A2" s="2" t="inlineStr">
        <is>
          <t>0 / 1 기입 · 답없음 문항만 모름 적정 평가 · 20문항은 사람이 교차 확인</t>
        </is>
      </c>
    </row>
    <row r="4">
      <c r="A4" s="3" t="inlineStr">
        <is>
          <t>qid</t>
        </is>
      </c>
      <c r="B4" s="3" t="inlineStr">
        <is>
          <t>질문</t>
        </is>
      </c>
      <c r="C4" s="3" t="inlineStr">
        <is>
          <t>답변(요약)</t>
        </is>
      </c>
      <c r="D4" s="3" t="inlineStr">
        <is>
          <t>충실도</t>
        </is>
      </c>
      <c r="E4" s="3" t="inlineStr">
        <is>
          <t>인용 정확도</t>
        </is>
      </c>
      <c r="F4" s="3" t="inlineStr">
        <is>
          <t>모름 적정</t>
        </is>
      </c>
      <c r="G4" s="3" t="inlineStr">
        <is>
          <t>평가자</t>
        </is>
      </c>
      <c r="H4" s="3" t="inlineStr">
        <is>
          <t>비고</t>
        </is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6">
      <c r="A306" s="11" t="inlineStr">
        <is>
          <t>집계</t>
        </is>
      </c>
    </row>
    <row r="307">
      <c r="A307" s="12" t="inlineStr">
        <is>
          <t>충실도</t>
        </is>
      </c>
      <c r="B307" s="21" t="str">
        <f>IFERROR(COUNTIF(D5:D304,"1")/(COUNTIF(D5:D304,"1")+COUNTIF(D5:D304,"0")),"")</f>
        <v/>
      </c>
    </row>
    <row r="308">
      <c r="A308" s="12" t="inlineStr">
        <is>
          <t>인용 정확도</t>
        </is>
      </c>
      <c r="B308" s="21" t="str">
        <f>IFERROR(COUNTIF(E5:E304,"1")/(COUNTIF(E5:E304,"1")+COUNTIF(E5:E304,"0")),"")</f>
        <v/>
      </c>
    </row>
    <row r="309">
      <c r="A309" s="12" t="inlineStr">
        <is>
          <t>모름 정확도</t>
        </is>
      </c>
      <c r="B309" s="21" t="str">
        <f>IFERROR(COUNTIF(F5:F304,"1")/(COUNTIF(F5:F304,"1")+COUNTIF(F5:F304,"0")),"")</f>
        <v/>
      </c>
    </row>
  </sheetData>
  <autoFilter ref="A4:H304"/>
  <mergeCells count="2">
    <mergeCell ref="A2:H2"/>
    <mergeCell ref="A1:H1"/>
  </mergeCells>
  <dataValidations count="3">
    <dataValidation sqref="D5:D304" showDropDown="0" showInputMessage="0" showErrorMessage="0" allowBlank="1" type="list">
      <formula1>"1,0,-"</formula1>
    </dataValidation>
    <dataValidation sqref="E5:E304" showDropDown="0" showInputMessage="0" showErrorMessage="0" allowBlank="1" type="list">
      <formula1>"1,0,-"</formula1>
    </dataValidation>
    <dataValidation sqref="F5:F304" showDropDown="0" showInputMessage="0" showErrorMessage="0" allowBlank="1" type="list">
      <formula1>"1,0,-"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2026-09-23T07:58:53Z</dcterms:created>
  <dcterms:modified xmlns:dcterms="http://purl.org/dc/terms/" xmlns:xsi="http://www.w3.org/2001/XMLSchema-instance" xsi:type="dcterms:W3CDTF">2026-09-23T07:58:53Z</dcterms:modified>
</cp:coreProperties>
</file>